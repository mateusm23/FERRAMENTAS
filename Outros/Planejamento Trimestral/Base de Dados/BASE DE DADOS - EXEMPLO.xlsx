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Frentes" state="visible" r:id="rId5"/>
    <sheet sheetId="3" name="Restrições" state="visible" r:id="rId6"/>
    <sheet sheetId="4" name="Previsibilidade" state="visible" r:id="rId7"/>
    <sheet sheetId="5" name="Planos de ação" state="visible" r:id="rId8"/>
    <sheet sheetId="7" name="Cronograma" state="visible" r:id="rId9"/>
    <sheet sheetId="8" name="Listas" state="visible" r:id="rId10"/>
  </sheets>
  <definedNames>
    <definedName name="DataRef">Listas!$F$2</definedName>
    <definedName name="_xlnm.Print_Titles" localSheetId="1">'Frentes'!$4:$4</definedName>
    <definedName name="_xlnm.Print_Titles" localSheetId="2">'Restrições'!$4:$4</definedName>
    <definedName name="_xlnm.Print_Titles" localSheetId="3">'Previsibilidade'!$4:$4</definedName>
    <definedName name="_xlnm.Print_Titles" localSheetId="4">'Planos de ação'!$4:$4</definedName>
  </definedNames>
  <calcPr calcId="171027" fullCalcOnLoad="1"/>
</workbook>
</file>

<file path=xl/sharedStrings.xml><?xml version="1.0" encoding="utf-8"?>
<sst xmlns="http://schemas.openxmlformats.org/spreadsheetml/2006/main" count="642" uniqueCount="256">
  <si>
    <t>Base de dados do planejamento trimestral</t>
  </si>
  <si>
    <t>Exemplo com dados fictícios, 4º trimestre de 2026. Serve para conhecer o preenchimento e testar o painel.</t>
  </si>
  <si>
    <t>As abas</t>
  </si>
  <si>
    <t>Aba</t>
  </si>
  <si>
    <t>Para que serve</t>
  </si>
  <si>
    <t>Quem preenche</t>
  </si>
  <si>
    <t>Quando</t>
  </si>
  <si>
    <t>Frentes</t>
  </si>
  <si>
    <t>As frentes do trimestre, com as datas da base e do reprogramado e a unidade de medição. Alimenta o Gantt.</t>
  </si>
  <si>
    <t>Cronograma e engenheiro</t>
  </si>
  <si>
    <t>Na virada do mês</t>
  </si>
  <si>
    <t>Restrições</t>
  </si>
  <si>
    <t>Uma linha por restrição, com tipo, responsável, prazo, impactos e observação. Situação calculada.</t>
  </si>
  <si>
    <t>Engenheiro</t>
  </si>
  <si>
    <t>Sempre que surgir ou mudar uma restrição</t>
  </si>
  <si>
    <t>Previsibilidade</t>
  </si>
  <si>
    <t>Quantidade e equipe, previstas e reais, por frente e por semana (e por local, se quiser detalhar).</t>
  </si>
  <si>
    <t>Prevê as próximas semanas e fecha a semana que passou</t>
  </si>
  <si>
    <t>Planos de ação</t>
  </si>
  <si>
    <t>As ações que a obra está desenvolvendo, com responsável, prazo e status.</t>
  </si>
  <si>
    <t>Sempre que houver uma ação nova</t>
  </si>
  <si>
    <t>Cronograma</t>
  </si>
  <si>
    <t>Resumo do cronograma para o previsto x realizado: datas, atividades atrasadas e a curva mensal.</t>
  </si>
  <si>
    <t>Leitor do cronograma</t>
  </si>
  <si>
    <t>Quando o cronograma for atualizado</t>
  </si>
  <si>
    <t>Listas</t>
  </si>
  <si>
    <t>Data de referência e as listas das caixas de seleção.</t>
  </si>
  <si>
    <t>Planejamento</t>
  </si>
  <si>
    <t>Quando algo mudar</t>
  </si>
  <si>
    <t>Cores</t>
  </si>
  <si>
    <t>Célula branca</t>
  </si>
  <si>
    <t>Campo de preenchimento, com lista ou validação quando aplicável.</t>
  </si>
  <si>
    <t>Célula azul</t>
  </si>
  <si>
    <t>Fórmula. Não preencher.</t>
  </si>
  <si>
    <t>Cabeçalho escuro</t>
  </si>
  <si>
    <t>Coluna de preenchimento.</t>
  </si>
  <si>
    <t>Cabeçalho azul</t>
  </si>
  <si>
    <t>Coluna de fórmula.</t>
  </si>
  <si>
    <t>Regras de cálculo</t>
  </si>
  <si>
    <t>Situação da restrição: resolvida quando tem Prazo resolvido; vencida quando não tem e o Prazo limite é anterior à data de referência; no prazo nas demais.</t>
  </si>
  <si>
    <t>Produtividade esperada é a quantidade prevista dividida pela equipe prevista da semana. Produtividade real é a quantidade executada dividida pela equipe real. Índice da semana é a real dividida pela esperada: boa a partir de 95%, regular de 85% a 95% e ruim abaixo de 85%.</t>
  </si>
  <si>
    <t>Previsibilidade com locais: se uma frente tem linhas por local na semana, os totais da frente são a soma dos locais. Sem linhas por local, vale a linha da frente. A premissa do engenheiro vai na Observação da linha da frente da primeira semana de previsão.</t>
  </si>
  <si>
    <t>Semana: use a data da segunda-feira. A semana pertence ao mês em que cai a maioria dos dias úteis.</t>
  </si>
  <si>
    <t>Frentes de serviço do trimestre</t>
  </si>
  <si>
    <t>Frentes de serviço do trimestre, com unidade de medição e período.</t>
  </si>
  <si>
    <t>FRENTE</t>
  </si>
  <si>
    <t>UNIDADE</t>
  </si>
  <si>
    <t>INÍCIO BASE</t>
  </si>
  <si>
    <t>TÉRMINO BASE</t>
  </si>
  <si>
    <t>INÍCIO REPROG.</t>
  </si>
  <si>
    <t>TÉRMINO REPROG.</t>
  </si>
  <si>
    <t>LOCAIS</t>
  </si>
  <si>
    <t>RESTRIÇÕES TOTAIS</t>
  </si>
  <si>
    <t>RESTRIÇÕES REMOVIDAS</t>
  </si>
  <si>
    <t>RESTRIÇÕES PENDENTES</t>
  </si>
  <si>
    <t>Fachada e reboco externo</t>
  </si>
  <si>
    <t>m²</t>
  </si>
  <si>
    <t>Torre 1, Torre 2, Torre 3, Área de Lazer, Térreo</t>
  </si>
  <si>
    <t>Regularização de escadas</t>
  </si>
  <si>
    <t>lance</t>
  </si>
  <si>
    <t>SS2, Térreo, Área de Lazer, Torre 1, Torre 3</t>
  </si>
  <si>
    <t>Instalações elétricas</t>
  </si>
  <si>
    <t>pontos</t>
  </si>
  <si>
    <t>Torre 1, Torre 3, SS1, Área de Lazer, Térreo</t>
  </si>
  <si>
    <t>Alvenaria e shafts</t>
  </si>
  <si>
    <t>Torre 1, Torre 3, SS1, SS2, Área de Lazer, Térreo, Torre 2</t>
  </si>
  <si>
    <t>Forro e tratamento de teto</t>
  </si>
  <si>
    <t>Torre 1, Torre 3, SS1, SS2, Térreo</t>
  </si>
  <si>
    <t>Fechamento da cremalheira</t>
  </si>
  <si>
    <t>pav.</t>
  </si>
  <si>
    <t>Térreo, SS2, Torre 1, Torre 2</t>
  </si>
  <si>
    <t>Impermeabilização</t>
  </si>
  <si>
    <t>Contrapiso e pavimentação</t>
  </si>
  <si>
    <t>Torre 1, Torre 2, Área de Lazer, Térreo, Torre 3</t>
  </si>
  <si>
    <t>Reboco interno</t>
  </si>
  <si>
    <t>Torre 3, Térreo, Torre 1, Torre 2, Área de Lazer</t>
  </si>
  <si>
    <t>Esquadrias</t>
  </si>
  <si>
    <t>un</t>
  </si>
  <si>
    <t>Torre 1, Torre 3, Térreo</t>
  </si>
  <si>
    <t>Instalações hidráulicas</t>
  </si>
  <si>
    <t>Torre 3, SS1, SS2, Térreo, Área de Lazer</t>
  </si>
  <si>
    <t>Estruturas remanescentes (piscina e marquise)</t>
  </si>
  <si>
    <t>m³</t>
  </si>
  <si>
    <t>Área de Lazer, Térreo</t>
  </si>
  <si>
    <t>Registro de restrições por frente de serviço.</t>
  </si>
  <si>
    <t>TIPO DE RESTRIÇÃO</t>
  </si>
  <si>
    <t>INÍCIO DA ATIVIDADE</t>
  </si>
  <si>
    <t>DESCRIÇÃO DA RESTRIÇÃO</t>
  </si>
  <si>
    <t>RESPONSÁVEL</t>
  </si>
  <si>
    <t>PRAZO LIMITE DA RESTRIÇÃO</t>
  </si>
  <si>
    <t>PRAZO RESOLVIDO</t>
  </si>
  <si>
    <t>IMPACTO NO CUSTO</t>
  </si>
  <si>
    <t>IMPACTO NO PRAZO</t>
  </si>
  <si>
    <t>OBSERVAÇÃO</t>
  </si>
  <si>
    <t>SITUAÇÃO</t>
  </si>
  <si>
    <t>Mão de obra</t>
  </si>
  <si>
    <t>Equipe adicional ainda não mobilizada</t>
  </si>
  <si>
    <t>Contratos</t>
  </si>
  <si>
    <t>Médio</t>
  </si>
  <si>
    <t>Baixo</t>
  </si>
  <si>
    <t>Predecessora</t>
  </si>
  <si>
    <t>Frente anterior com atraso</t>
  </si>
  <si>
    <t>Eng. de obra</t>
  </si>
  <si>
    <t>Alto</t>
  </si>
  <si>
    <t>Segurança</t>
  </si>
  <si>
    <t>Projeto de proteção coletiva sem aprovação</t>
  </si>
  <si>
    <t>SESMT</t>
  </si>
  <si>
    <t>Documentação em conferência</t>
  </si>
  <si>
    <t>Equipamentos</t>
  </si>
  <si>
    <t>Balancins sem cotação fechada</t>
  </si>
  <si>
    <t>Suprimentos</t>
  </si>
  <si>
    <t>Dependente de decisão da diretoria</t>
  </si>
  <si>
    <t>Material</t>
  </si>
  <si>
    <t>Argamassa de revestimento recebido apenas em parte</t>
  </si>
  <si>
    <t>Compras</t>
  </si>
  <si>
    <t>Em negociação, previsão para a próxima semana</t>
  </si>
  <si>
    <t>Definição/Projeto</t>
  </si>
  <si>
    <t>Detalhe de juntas da fachada sem aprovação</t>
  </si>
  <si>
    <t>Diretoria</t>
  </si>
  <si>
    <t>Betoneira sem cotação fechada</t>
  </si>
  <si>
    <t>Contrato assinado e equipe mobilizada</t>
  </si>
  <si>
    <t>Locação de plataforma elevatória aguardando aprovação</t>
  </si>
  <si>
    <t>Aditivo da equipe sem aprovação</t>
  </si>
  <si>
    <t>RH da obra</t>
  </si>
  <si>
    <t>Resolvido e conferido em obra</t>
  </si>
  <si>
    <t>Cabos e eletrodutos recebido apenas em parte</t>
  </si>
  <si>
    <t>Detalhe do nariz dos degraus aguardando o cliente</t>
  </si>
  <si>
    <t>Projetos</t>
  </si>
  <si>
    <t>Cotações em análise</t>
  </si>
  <si>
    <t>Blocos e perfis de shaft com entrega atrasada</t>
  </si>
  <si>
    <t>Laudo da linha de vida pendente</t>
  </si>
  <si>
    <t>Paginação da alvenaria aguardando o cliente</t>
  </si>
  <si>
    <t>Material recebido e armazenado</t>
  </si>
  <si>
    <t>Liberação da frente anterior pendente</t>
  </si>
  <si>
    <t>Detalhe de forro aguardando o cliente</t>
  </si>
  <si>
    <t>Andaimes sem cotação fechada</t>
  </si>
  <si>
    <t>Detalhamento de ralos e soleiras aguardando o cliente</t>
  </si>
  <si>
    <t>Sequência de desmontagem sem aprovação</t>
  </si>
  <si>
    <t>Documentação da equipe pendente</t>
  </si>
  <si>
    <t>Liberação de maçarico pendente</t>
  </si>
  <si>
    <t>Aguardando retorno do fornecedor</t>
  </si>
  <si>
    <t>Cimento e areia recebido apenas em parte</t>
  </si>
  <si>
    <t>Bomba de contrapiso sem cotação fechada</t>
  </si>
  <si>
    <t>Locação de projetora de argamassa aguardando aprovação</t>
  </si>
  <si>
    <t>Detalhe de caixilho sem aprovação</t>
  </si>
  <si>
    <t>Liberação de carrinhos de transporte pendente</t>
  </si>
  <si>
    <t>Esquadrias de PVC recebido apenas em parte</t>
  </si>
  <si>
    <t>Liberação de máquina de solda pendente</t>
  </si>
  <si>
    <t>Projeto de prumadas revisado aguardando o cliente</t>
  </si>
  <si>
    <t>Contrato da equipe ainda em negociação</t>
  </si>
  <si>
    <t>Aço e concreto recebido apenas em parte</t>
  </si>
  <si>
    <t>Liberação de grua e bomba de concreto pendente</t>
  </si>
  <si>
    <t>Previsibilidade semanal</t>
  </si>
  <si>
    <t>Previsto e realizado semanal por frente de serviço.</t>
  </si>
  <si>
    <t>SEMANA (SEGUNDA)</t>
  </si>
  <si>
    <t>LOCAL (OPCIONAL)</t>
  </si>
  <si>
    <t>UN.</t>
  </si>
  <si>
    <t>QTD PREVISTA</t>
  </si>
  <si>
    <t>EQUIPE PREVISTA</t>
  </si>
  <si>
    <t>QTD EXECUTADA</t>
  </si>
  <si>
    <t>EQUIPE REAL</t>
  </si>
  <si>
    <t>OBSERVAÇÃO OU PREMISSA</t>
  </si>
  <si>
    <t>PRODUTIVIDADE ESPERADA</t>
  </si>
  <si>
    <t>PRODUTIVIDADE REAL</t>
  </si>
  <si>
    <t>ÍNDICE DA SEMANA</t>
  </si>
  <si>
    <t>Torre 2, Etapa 02 | REBOCO EXTERNO - Fachada</t>
  </si>
  <si>
    <t>Torre 2, Etapa 03 | LIMPEZA + CHAPISCO - Fachada</t>
  </si>
  <si>
    <t>Torre 1, Etapa FC | MONTAGEM BALANCINS - FC</t>
  </si>
  <si>
    <t>Torre 1, Etapa FC | REBOCO EXTERNO - FC</t>
  </si>
  <si>
    <t>Outros locais (2)</t>
  </si>
  <si>
    <t>SS2, Cx. Escada | Regularização Escada</t>
  </si>
  <si>
    <t>Térreo, Cx. Escada | Regularização Escada</t>
  </si>
  <si>
    <t>Área de Lazer, 1º Pav. | Regularização Escada - Cx. Escada</t>
  </si>
  <si>
    <t>Torre 1, 2º Pav. | Regularização Escada - Cx. Escada</t>
  </si>
  <si>
    <t>Outros locais (10)</t>
  </si>
  <si>
    <t>Torre 3, Casa de Máquinas | Instalações Elétricas - CM</t>
  </si>
  <si>
    <t>Torre 1, 12º Pav. | Enfiação de Shaft + Teste Elétrico</t>
  </si>
  <si>
    <t>Torre 3, 12º Pav. | Enfiação de Shaft + Teste Elétrico</t>
  </si>
  <si>
    <t>Torre 3, 13º Pav. | Enfiação de Shaft + Teste Elétrico</t>
  </si>
  <si>
    <t>Outros locais (7)</t>
  </si>
  <si>
    <t>Área de Lazer, Trecho 01 - Lazer Externo - Torre 1 | Alvenaria Perimetral</t>
  </si>
  <si>
    <t>Torre 2, Medidores | Alvenaria</t>
  </si>
  <si>
    <t>Térreo, Subestação | Alvenaria- Substação</t>
  </si>
  <si>
    <t>Área de Lazer, Pet Care | Alvenaria- Pet Care</t>
  </si>
  <si>
    <t>Outros locais (8)</t>
  </si>
  <si>
    <t>SS1, Estacionamento | Tratamento de Teto</t>
  </si>
  <si>
    <t>SS1 | Furo Cremalheira - Torre 2</t>
  </si>
  <si>
    <t>Torre 1, 3º Pav. | Emassamento e 1° Demão Cremalheira</t>
  </si>
  <si>
    <t>Torre 1, 4º Pav. | Emassamento e 1° Demão Cremalheira</t>
  </si>
  <si>
    <t>Torre 1, 5º Pav. | Emassamento e 1° Demão Cremalheira</t>
  </si>
  <si>
    <t>Outros locais (6)</t>
  </si>
  <si>
    <t>Torre 2, Etapa 06 | IMPERMEABILIZAÇÃO DE PEITORIL - Fach...</t>
  </si>
  <si>
    <t>Torre 2, Etapa 01 | IMPERMEABILIZAÇÃO DE PEITORIL - Fach...</t>
  </si>
  <si>
    <t>Torre 2, Etapa 02 | IMPERMEABILIZAÇÃO DE PEITORIL - Fach...</t>
  </si>
  <si>
    <t>Torre 2, Etapa 03 | IMPERMEABILIZAÇÃO DE PEITORIL - Fach...</t>
  </si>
  <si>
    <t>Torre 1, Medidores | Contrapiso</t>
  </si>
  <si>
    <t>Térreo, Hall Principal | Contrapiso</t>
  </si>
  <si>
    <t>Térreo, Hall Principal | Regularização Escada</t>
  </si>
  <si>
    <t>Torre 1, Cobertura | Regularização de piso - COB EXT.</t>
  </si>
  <si>
    <t>Torre 3, 17º Pav. | Reboco Interno</t>
  </si>
  <si>
    <t>Torre 2, 14º Pav. | Isolamento Acústico Hidráulico</t>
  </si>
  <si>
    <t>Área de Lazer, Lazer Interno - Torre 3 | Instalações Hidráulicas</t>
  </si>
  <si>
    <t>Torre 3, 15º Pav. | Isolamento Acústico Hidráulico</t>
  </si>
  <si>
    <t>Torre 3, 16º Pav. | Isolamento Acústico Hidráulico</t>
  </si>
  <si>
    <t>Depende do balancim (restrição de equipamento, prazo 21/10). Sem ele, manter 12 pessoas.</t>
  </si>
  <si>
    <t>Frente estável, com a mesma equipe nas três primeiras semanas.</t>
  </si>
  <si>
    <t>Queda a partir da S3: o trabalho nos shafts termina.</t>
  </si>
  <si>
    <t>18 pessoas na S3 só se o aditivo da equipe for aprovado até 14/10.</t>
  </si>
  <si>
    <t>Uma equipe fixa no estacionamento do SS1.</t>
  </si>
  <si>
    <t>Meta de 8 pavimentos por semana a partir da S2, com a mesma equipe.</t>
  </si>
  <si>
    <t>Mais 2 pessoas a partir da S2, quando entram as etapas da Torre 2.</t>
  </si>
  <si>
    <t>Equipe reduz na S3, quando restam só os halls.</t>
  </si>
  <si>
    <t>Reforço de 4 pessoas na S3, condicionado à argamassa (restrição de material).</t>
  </si>
  <si>
    <t>Frente encerra na S2.</t>
  </si>
  <si>
    <t>Registro de ações para tratamento das restrições e desvios.</t>
  </si>
  <si>
    <t>AÇÃO</t>
  </si>
  <si>
    <t>PRAZO</t>
  </si>
  <si>
    <t>STATUS</t>
  </si>
  <si>
    <t>Cotar e fechar a locação dos balancins para a fachada</t>
  </si>
  <si>
    <t>Em andamento</t>
  </si>
  <si>
    <t>Três cotações em análise</t>
  </si>
  <si>
    <t>Aprovar o aditivo da equipe de alvenaria</t>
  </si>
  <si>
    <t>Libera as 18 pessoas previstas para a S3</t>
  </si>
  <si>
    <t>Emitir o pedido de compra da argamassa de reboco interno</t>
  </si>
  <si>
    <t>Fechar o projeto de prumadas com o projetista</t>
  </si>
  <si>
    <t>Prazo vence amanhã</t>
  </si>
  <si>
    <t>Antecipar o treinamento de trabalho em altura da equipe de fachada</t>
  </si>
  <si>
    <t>Concluída</t>
  </si>
  <si>
    <t>Equipe de 12 pessoas treinada</t>
  </si>
  <si>
    <t>Rever a sequência de liberação dos pavimentos da cremalheira</t>
  </si>
  <si>
    <t>Aguardando reunião com a empreiteira</t>
  </si>
  <si>
    <t>Contratar 2 pessoas para a impermeabilização a partir da S2</t>
  </si>
  <si>
    <t>Compatibilizar a plataforma elevatória com a frente elétrica</t>
  </si>
  <si>
    <t>Atualizar o histograma de equipe da alvenaria</t>
  </si>
  <si>
    <t>Histograma ajustado para 18 pessoas na S3</t>
  </si>
  <si>
    <t>Liberar a cobertura para a impermeabilização</t>
  </si>
  <si>
    <t>Depende da conclusão da estrutura</t>
  </si>
  <si>
    <t>Resumo do cronograma</t>
  </si>
  <si>
    <t>Parâmetros e séries mensais do cronograma.</t>
  </si>
  <si>
    <t>DATA DO CRONOGRAMA</t>
  </si>
  <si>
    <t>TÉRMINO DA OBRA NA LINHA DE BASE</t>
  </si>
  <si>
    <t>TÉRMINO DA OBRA NO REPROGRAMADO</t>
  </si>
  <si>
    <t>ATIVIDADES PREVISTAS ATÉ HOJE (BASE)</t>
  </si>
  <si>
    <t>ATIVIDADES ATRASADAS CONTRA A BASE</t>
  </si>
  <si>
    <t>ATIVIDADES PREVISTAS ATÉ HOJE (REPROG.)</t>
  </si>
  <si>
    <t>ATIVIDADES ATRASADAS CONTRA O REPROG.</t>
  </si>
  <si>
    <t>MÊS</t>
  </si>
  <si>
    <t>LINHA DE BASE (%)</t>
  </si>
  <si>
    <t>REPROGRAMADO (%)</t>
  </si>
  <si>
    <t>REAL (%)</t>
  </si>
  <si>
    <t>Listas e data de referência</t>
  </si>
  <si>
    <t>Parâmetros e listas de apoio da base.</t>
  </si>
  <si>
    <t>Data de referência</t>
  </si>
  <si>
    <t>IMPACTO</t>
  </si>
  <si>
    <t>STATUS DO PLANO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</si>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</sst>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mmm/yy"/>
  </numFmts>
  <fonts count="12" x14ac:knownFonts="1">
    <font>
      <color theme="1"/>
      <family val="2"/>
      <scheme val="minor"/>
      <sz val="11"/>
      <name val="Calibri"/>
    </font>
    <font>
      <b/>
      <color rgb="FF000D5C"/>
      <sz val="18"/>
      <name val="Calibri"/>
    </font>
    <font>
      <i/>
      <color rgb="FF5C5D60"/>
      <sz val="10.5"/>
      <name val="Calibri"/>
    </font>
    <font>
      <b/>
      <color rgb="FFFFFFFF"/>
      <sz val="12"/>
      <name val="Calibri"/>
    </font>
    <font>
      <b/>
      <color rgb="FFFFFFFF"/>
      <sz val="10.5"/>
      <name val="Calibri"/>
    </font>
    <font>
      <b/>
      <color rgb="FF000D5C"/>
      <sz val="10.5"/>
      <name val="Calibri"/>
    </font>
    <font>
      <color rgb="FF191A1C"/>
      <sz val="10.5"/>
      <name val="Calibri"/>
    </font>
    <font>
      <b/>
      <color rgb="FF191A1C"/>
      <sz val="10.5"/>
      <name val="Calibri"/>
    </font>
    <font>
      <sz val="10.5"/>
      <name val="Calibri"/>
    </font>
    <font>
      <b/>
      <color rgb="FF000D5C"/>
      <sz val="15"/>
      <name val="Calibri"/>
    </font>
    <font>
      <b/>
      <color rgb="FF000D5C"/>
      <sz val="11"/>
      <name val="Calibri"/>
    </font>
    <font>
      <b/>
      <color rgb="FF1A3EB5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D5C"/>
      </patternFill>
    </fill>
    <fill>
      <patternFill patternType="solid">
        <fgColor rgb="FF5C5F6B"/>
      </patternFill>
    </fill>
    <fill>
      <patternFill patternType="solid">
        <fgColor rgb="FFFFFFFF"/>
      </patternFill>
    </fill>
    <fill>
      <patternFill patternType="solid">
        <fgColor rgb="FFDCE8FB"/>
      </patternFill>
    </fill>
    <fill>
      <patternFill patternType="solid">
        <fgColor rgb="FF1A6EE8"/>
      </patternFill>
    </fill>
  </fills>
  <borders count="4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  <diagonal/>
    </border>
    <border>
      <left style="thin">
        <color rgb="FFCDD2DB"/>
      </left>
      <right style="thin">
        <color rgb="FFCDD2DB"/>
      </right>
      <top style="thin">
        <color rgb="FFCDD2DB"/>
      </top>
      <bottom style="thin">
        <color rgb="FFCDD2DB"/>
      </bottom>
      <diagonal/>
    </border>
    <border>
      <left style="thin">
        <color rgb="FF5C5F6B"/>
      </left>
      <right style="thin">
        <color rgb="FF5C5F6B"/>
      </right>
      <top style="thin">
        <color rgb="FF5C5F6B"/>
      </top>
      <bottom style="thin">
        <color rgb="FF5C5F6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inden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top" wrapText="1" indent="1"/>
    </xf>
    <xf numFmtId="0" fontId="9" fillId="0" borderId="0" xfId="0" applyFont="1" applyAlignment="1">
      <alignment vertical="center"/>
    </xf>
    <xf numFmtId="0" fontId="4" fillId="6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center" vertical="top"/>
    </xf>
    <xf numFmtId="164" fontId="6" fillId="4" borderId="2" xfId="0" applyNumberFormat="1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left" vertical="top" wrapText="1"/>
    </xf>
    <xf numFmtId="1" fontId="6" fillId="5" borderId="1" xfId="0" applyNumberFormat="1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/>
    </xf>
    <xf numFmtId="9" fontId="6" fillId="5" borderId="1" xfId="0" applyNumberFormat="1" applyFont="1" applyFill="1" applyBorder="1" applyAlignment="1">
      <alignment horizontal="center" vertical="top"/>
    </xf>
    <xf numFmtId="0" fontId="4" fillId="3" borderId="3" xfId="0" applyFont="1" applyFill="1" applyBorder="1"/>
    <xf numFmtId="164" fontId="10" fillId="4" borderId="1" xfId="0" applyNumberFormat="1" applyFont="1" applyFill="1" applyBorder="1" applyAlignment="1">
      <alignment horizontal="center"/>
    </xf>
    <xf numFmtId="3" fontId="10" fillId="4" borderId="1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/>
    </xf>
    <xf numFmtId="10" fontId="6" fillId="4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 vertical="center"/>
    </xf>
    <xf numFmtId="164" fontId="11" fillId="4" borderId="2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8" fillId="4" borderId="2" xfId="0" applyFont="1" applyFill="1" applyBorder="1"/>
  </cellXfs>
  <cellStyles count="1">
    <cellStyle name="Normal" xfId="0" builtinId="0"/>
  </cellStyles>
  <dxfs count="13">
    <dxf>
      <font>
        <b/>
        <color rgb="FFC0392B"/>
      </font>
      <fill>
        <patternFill patternType="solid">
          <bgColor rgb="FFFDECEA"/>
        </patternFill>
      </fill>
    </dxf>
    <dxf>
      <font>
        <b/>
        <color rgb="FF0B6E50"/>
      </font>
      <fill>
        <patternFill patternType="solid">
          <bgColor rgb="FFE8F8F2"/>
        </patternFill>
      </fill>
    </dxf>
    <dxf>
      <font>
        <b/>
        <color rgb="FF1A3EB5"/>
      </font>
      <fill>
        <patternFill patternType="solid">
          <bgColor rgb="FFE4EDFC"/>
        </patternFill>
      </fill>
    </dxf>
    <dxf>
      <font>
        <b/>
        <color rgb="FFC0392B"/>
      </font>
      <fill>
        <patternFill patternType="solid">
          <bgColor rgb="FFFDECEA"/>
        </patternFill>
      </fill>
    </dxf>
    <dxf>
      <font>
        <b/>
        <color rgb="FFC0392B"/>
      </font>
      <fill>
        <patternFill patternType="solid">
          <bgColor rgb="FFFDECEA"/>
        </patternFill>
      </fill>
    </dxf>
    <dxf>
      <font>
        <b/>
        <color rgb="FF7A3A06"/>
      </font>
      <fill>
        <patternFill patternType="solid">
          <bgColor rgb="FFFFF4E6"/>
        </patternFill>
      </fill>
    </dxf>
    <dxf>
      <font>
        <b/>
        <color rgb="FF0B6E50"/>
      </font>
      <fill>
        <patternFill patternType="solid">
          <bgColor rgb="FFE8F8F2"/>
        </patternFill>
      </fill>
    </dxf>
    <dxf>
      <font>
        <b/>
        <color rgb="FF0B6E50"/>
      </font>
      <fill>
        <patternFill patternType="solid">
          <bgColor rgb="FFE8F8F2"/>
        </patternFill>
      </fill>
    </dxf>
    <dxf>
      <font>
        <b/>
        <color rgb="FF7A3A06"/>
      </font>
      <fill>
        <patternFill patternType="solid">
          <bgColor rgb="FFFFF4E6"/>
        </patternFill>
      </fill>
    </dxf>
    <dxf>
      <font>
        <b/>
        <color rgb="FFC0392B"/>
      </font>
      <fill>
        <patternFill patternType="solid">
          <bgColor rgb="FFFDECEA"/>
        </patternFill>
      </fill>
    </dxf>
    <dxf>
      <font>
        <b/>
        <color rgb="FFC0392B"/>
      </font>
      <fill>
        <patternFill patternType="solid">
          <bgColor rgb="FFFDECEA"/>
        </patternFill>
      </fill>
    </dxf>
    <dxf>
      <font>
        <b/>
        <color rgb="FF0B6E50"/>
      </font>
      <fill>
        <patternFill patternType="solid">
          <bgColor rgb="FFE8F8F2"/>
        </patternFill>
      </fill>
    </dxf>
    <dxf>
      <font>
        <b/>
        <color rgb="FF1A3EB5"/>
      </font>
      <fill>
        <patternFill patternType="solid">
          <bgColor rgb="FFE4ED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22000</xdr:colOff>
      <xdr:row>0</xdr:row>
      <xdr:rowOff>27000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D5C"/>
    <pageSetUpPr fitToPage="1"/>
  </sheetPr>
  <dimension ref="A1:D24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62" customWidth="1"/>
    <col min="3" max="3" width="22" customWidth="1"/>
    <col min="4" max="4" width="26" customWidth="1"/>
  </cols>
  <sheetData>
    <row r="1" ht="34" customHeight="1" spans="2:4" x14ac:dyDescent="0.25">
      <c r="B1" s="1" t="s">
        <v>0</v>
      </c>
      <c r="C1" s="1"/>
      <c r="D1" s="1"/>
    </row>
    <row r="2" ht="28" customHeight="1" spans="2:4" x14ac:dyDescent="0.25">
      <c r="B2" s="2" t="s">
        <v>1</v>
      </c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ht="20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ht="34" customHeight="1" spans="1:4" x14ac:dyDescent="0.25">
      <c r="A6" s="5" t="s">
        <v>7</v>
      </c>
      <c r="B6" s="6" t="s">
        <v>8</v>
      </c>
      <c r="C6" s="6" t="s">
        <v>9</v>
      </c>
      <c r="D6" s="6" t="s">
        <v>10</v>
      </c>
    </row>
    <row r="7" ht="34" customHeight="1" spans="1:4" x14ac:dyDescent="0.25">
      <c r="A7" s="5" t="s">
        <v>11</v>
      </c>
      <c r="B7" s="6" t="s">
        <v>12</v>
      </c>
      <c r="C7" s="6" t="s">
        <v>13</v>
      </c>
      <c r="D7" s="6" t="s">
        <v>14</v>
      </c>
    </row>
    <row r="8" ht="34" customHeight="1" spans="1:4" x14ac:dyDescent="0.25">
      <c r="A8" s="5" t="s">
        <v>15</v>
      </c>
      <c r="B8" s="6" t="s">
        <v>16</v>
      </c>
      <c r="C8" s="6" t="s">
        <v>13</v>
      </c>
      <c r="D8" s="6" t="s">
        <v>17</v>
      </c>
    </row>
    <row r="9" ht="34" customHeight="1" spans="1:4" x14ac:dyDescent="0.25">
      <c r="A9" s="5" t="s">
        <v>18</v>
      </c>
      <c r="B9" s="6" t="s">
        <v>19</v>
      </c>
      <c r="C9" s="6" t="s">
        <v>13</v>
      </c>
      <c r="D9" s="6" t="s">
        <v>20</v>
      </c>
    </row>
    <row r="10" ht="34" customHeight="1" spans="1:4" x14ac:dyDescent="0.25">
      <c r="A10" s="5" t="s">
        <v>21</v>
      </c>
      <c r="B10" s="6" t="s">
        <v>22</v>
      </c>
      <c r="C10" s="6" t="s">
        <v>23</v>
      </c>
      <c r="D10" s="6" t="s">
        <v>24</v>
      </c>
    </row>
    <row r="11" ht="34" customHeight="1" spans="1:4" x14ac:dyDescent="0.25">
      <c r="A11" s="5" t="s">
        <v>25</v>
      </c>
      <c r="B11" s="6" t="s">
        <v>26</v>
      </c>
      <c r="C11" s="6" t="s">
        <v>27</v>
      </c>
      <c r="D11" s="6" t="s">
        <v>28</v>
      </c>
    </row>
    <row r="14" ht="22" customHeight="1" spans="1:4" x14ac:dyDescent="0.25">
      <c r="A14" s="3" t="s">
        <v>29</v>
      </c>
      <c r="B14" s="3"/>
      <c r="C14" s="3"/>
      <c r="D14" s="3"/>
    </row>
    <row r="15" ht="22" customHeight="1" spans="1:4" x14ac:dyDescent="0.25">
      <c r="A15" s="7" t="s">
        <v>30</v>
      </c>
      <c r="B15" s="8" t="s">
        <v>31</v>
      </c>
      <c r="C15" s="8"/>
      <c r="D15" s="8"/>
    </row>
    <row r="16" ht="22" customHeight="1" spans="1:4" x14ac:dyDescent="0.25">
      <c r="A16" s="9" t="s">
        <v>32</v>
      </c>
      <c r="B16" s="8" t="s">
        <v>33</v>
      </c>
      <c r="C16" s="8"/>
      <c r="D16" s="8"/>
    </row>
    <row r="17" ht="22" customHeight="1" spans="1:4" x14ac:dyDescent="0.25">
      <c r="A17" s="10" t="s">
        <v>34</v>
      </c>
      <c r="B17" s="8" t="s">
        <v>35</v>
      </c>
      <c r="C17" s="8"/>
      <c r="D17" s="8"/>
    </row>
    <row r="18" ht="22" customHeight="1" spans="1:4" x14ac:dyDescent="0.25">
      <c r="A18" s="11" t="s">
        <v>36</v>
      </c>
      <c r="B18" s="8" t="s">
        <v>37</v>
      </c>
      <c r="C18" s="8"/>
      <c r="D18" s="8"/>
    </row>
    <row r="20" ht="22" customHeight="1" spans="1:4" x14ac:dyDescent="0.25">
      <c r="A20" s="3" t="s">
        <v>38</v>
      </c>
      <c r="B20" s="3"/>
      <c r="C20" s="3"/>
      <c r="D20" s="3"/>
    </row>
    <row r="21" ht="32" customHeight="1" spans="1:4" x14ac:dyDescent="0.25">
      <c r="A21" s="12" t="s">
        <v>39</v>
      </c>
      <c r="B21" s="12"/>
      <c r="C21" s="12"/>
      <c r="D21" s="12"/>
    </row>
    <row r="22" ht="32" customHeight="1" spans="1:4" x14ac:dyDescent="0.25">
      <c r="A22" s="12" t="s">
        <v>40</v>
      </c>
      <c r="B22" s="12"/>
      <c r="C22" s="12"/>
      <c r="D22" s="12"/>
    </row>
    <row r="23" ht="32" customHeight="1" spans="1:4" x14ac:dyDescent="0.25">
      <c r="A23" s="12" t="s">
        <v>41</v>
      </c>
      <c r="B23" s="12"/>
      <c r="C23" s="12"/>
      <c r="D23" s="12"/>
    </row>
    <row r="24" ht="32" customHeight="1" spans="1:4" x14ac:dyDescent="0.25">
      <c r="A24" s="12" t="s">
        <v>42</v>
      </c>
      <c r="B24" s="12"/>
      <c r="C24" s="12"/>
      <c r="D24" s="12"/>
    </row>
  </sheetData>
  <mergeCells count="13">
    <mergeCell ref="B1:D1"/>
    <mergeCell ref="B2:D2"/>
    <mergeCell ref="A4:D4"/>
    <mergeCell ref="A14:D14"/>
    <mergeCell ref="B15:D15"/>
    <mergeCell ref="B16:D16"/>
    <mergeCell ref="B17:D17"/>
    <mergeCell ref="B18:D18"/>
    <mergeCell ref="A20:D20"/>
    <mergeCell ref="A21:D21"/>
    <mergeCell ref="A22:D22"/>
    <mergeCell ref="A23:D23"/>
    <mergeCell ref="A24:D24"/>
  </mergeCells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6EE8"/>
    <pageSetUpPr fitToPage="1"/>
  </sheetPr>
  <dimension ref="A1:J64"/>
  <sheetViews>
    <sheetView workbookViewId="0" showGridLines="0" zoomScale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1" customWidth="1"/>
    <col min="3" max="6" width="12" customWidth="1"/>
    <col min="7" max="7" width="46" customWidth="1"/>
    <col min="8" max="10" width="12" customWidth="1"/>
  </cols>
  <sheetData>
    <row r="1" ht="26" customHeight="1" spans="1:10" x14ac:dyDescent="0.25">
      <c r="A1" s="13" t="s">
        <v>43</v>
      </c>
      <c r="B1" s="13"/>
      <c r="C1" s="13"/>
      <c r="D1" s="13"/>
      <c r="E1" s="13"/>
      <c r="F1" s="13"/>
      <c r="G1" s="13"/>
      <c r="H1" s="13"/>
      <c r="I1" s="13"/>
      <c r="J1" s="13"/>
    </row>
    <row r="2" ht="32" customHeight="1" spans="1:10" x14ac:dyDescent="0.25">
      <c r="A2" s="2" t="s">
        <v>44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4" customHeight="1" spans="1:10" x14ac:dyDescent="0.25">
      <c r="A4" s="14" t="s">
        <v>45</v>
      </c>
      <c r="B4" s="15" t="s">
        <v>46</v>
      </c>
      <c r="C4" s="14" t="s">
        <v>47</v>
      </c>
      <c r="D4" s="14" t="s">
        <v>48</v>
      </c>
      <c r="E4" s="14" t="s">
        <v>49</v>
      </c>
      <c r="F4" s="14" t="s">
        <v>50</v>
      </c>
      <c r="G4" s="14" t="s">
        <v>51</v>
      </c>
      <c r="H4" s="14" t="s">
        <v>52</v>
      </c>
      <c r="I4" s="14" t="s">
        <v>53</v>
      </c>
      <c r="J4" s="14" t="s">
        <v>54</v>
      </c>
    </row>
    <row r="5" spans="1:10" x14ac:dyDescent="0.25">
      <c r="A5" s="16" t="s">
        <v>55</v>
      </c>
      <c r="B5" s="17" t="s">
        <v>56</v>
      </c>
      <c r="C5" s="18">
        <v>46183</v>
      </c>
      <c r="D5" s="18">
        <v>46659</v>
      </c>
      <c r="E5" s="18">
        <v>46265</v>
      </c>
      <c r="F5" s="18">
        <v>46392</v>
      </c>
      <c r="G5" s="19" t="s">
        <v>57</v>
      </c>
      <c r="H5" s="20">
        <f>IF(A5="","",COUNTIF('Restrições'!$A$5:$A$604,A5))</f>
        <v>6</v>
      </c>
      <c r="I5" s="20">
        <f>IF(A5="","",COUNTIFS('Restrições'!$A$5:$A$604,A5,'Restrições'!$G$5:$G$604,"&lt;&gt;"))</f>
        <v>2</v>
      </c>
      <c r="J5" s="20">
        <f>IF(A5="","",H5-I5)</f>
        <v>4</v>
      </c>
    </row>
    <row r="6" spans="1:10" x14ac:dyDescent="0.25">
      <c r="A6" s="16" t="s">
        <v>58</v>
      </c>
      <c r="B6" s="17" t="s">
        <v>59</v>
      </c>
      <c r="C6" s="18">
        <v>46174</v>
      </c>
      <c r="D6" s="18">
        <v>46295</v>
      </c>
      <c r="E6" s="18">
        <v>46296</v>
      </c>
      <c r="F6" s="18">
        <v>46407</v>
      </c>
      <c r="G6" s="19" t="s">
        <v>60</v>
      </c>
      <c r="H6" s="20">
        <f>IF(A6="","",COUNTIF('Restrições'!$A$5:$A$604,A6))</f>
        <v>2</v>
      </c>
      <c r="I6" s="20">
        <f>IF(A6="","",COUNTIFS('Restrições'!$A$5:$A$604,A6,'Restrições'!$G$5:$G$604,"&lt;&gt;"))</f>
        <v>1</v>
      </c>
      <c r="J6" s="20">
        <f>IF(A6="","",H6-I6)</f>
        <v>1</v>
      </c>
    </row>
    <row r="7" spans="1:10" x14ac:dyDescent="0.25">
      <c r="A7" s="16" t="s">
        <v>61</v>
      </c>
      <c r="B7" s="17" t="s">
        <v>62</v>
      </c>
      <c r="C7" s="18">
        <v>46175</v>
      </c>
      <c r="D7" s="18">
        <v>46538</v>
      </c>
      <c r="E7" s="18">
        <v>46296</v>
      </c>
      <c r="F7" s="18">
        <v>46379</v>
      </c>
      <c r="G7" s="19" t="s">
        <v>63</v>
      </c>
      <c r="H7" s="20">
        <f>IF(A7="","",COUNTIF('Restrições'!$A$5:$A$604,A7))</f>
        <v>4</v>
      </c>
      <c r="I7" s="20">
        <f>IF(A7="","",COUNTIFS('Restrições'!$A$5:$A$604,A7,'Restrições'!$G$5:$G$604,"&lt;&gt;"))</f>
        <v>1</v>
      </c>
      <c r="J7" s="20">
        <f>IF(A7="","",H7-I7)</f>
        <v>3</v>
      </c>
    </row>
    <row r="8" spans="1:10" x14ac:dyDescent="0.25">
      <c r="A8" s="16" t="s">
        <v>64</v>
      </c>
      <c r="B8" s="17" t="s">
        <v>56</v>
      </c>
      <c r="C8" s="18">
        <v>46204</v>
      </c>
      <c r="D8" s="18">
        <v>46524</v>
      </c>
      <c r="E8" s="18">
        <v>46297</v>
      </c>
      <c r="F8" s="18">
        <v>46358</v>
      </c>
      <c r="G8" s="19" t="s">
        <v>65</v>
      </c>
      <c r="H8" s="20">
        <f>IF(A8="","",COUNTIF('Restrições'!$A$5:$A$604,A8))</f>
        <v>5</v>
      </c>
      <c r="I8" s="20">
        <f>IF(A8="","",COUNTIFS('Restrições'!$A$5:$A$604,A8,'Restrições'!$G$5:$G$604,"&lt;&gt;"))</f>
        <v>3</v>
      </c>
      <c r="J8" s="20">
        <f>IF(A8="","",H8-I8)</f>
        <v>2</v>
      </c>
    </row>
    <row r="9" spans="1:10" x14ac:dyDescent="0.25">
      <c r="A9" s="16" t="s">
        <v>66</v>
      </c>
      <c r="B9" s="17" t="s">
        <v>56</v>
      </c>
      <c r="C9" s="18">
        <v>46237</v>
      </c>
      <c r="D9" s="18">
        <v>46549</v>
      </c>
      <c r="E9" s="18">
        <v>46300</v>
      </c>
      <c r="F9" s="18">
        <v>46379</v>
      </c>
      <c r="G9" s="19" t="s">
        <v>67</v>
      </c>
      <c r="H9" s="20">
        <f>IF(A9="","",COUNTIF('Restrições'!$A$5:$A$604,A9))</f>
        <v>3</v>
      </c>
      <c r="I9" s="20">
        <f>IF(A9="","",COUNTIFS('Restrições'!$A$5:$A$604,A9,'Restrições'!$G$5:$G$604,"&lt;&gt;"))</f>
        <v>0</v>
      </c>
      <c r="J9" s="20">
        <f>IF(A9="","",H9-I9)</f>
        <v>3</v>
      </c>
    </row>
    <row r="10" spans="1:10" x14ac:dyDescent="0.25">
      <c r="A10" s="16" t="s">
        <v>68</v>
      </c>
      <c r="B10" s="17" t="s">
        <v>69</v>
      </c>
      <c r="C10" s="18">
        <v>46626</v>
      </c>
      <c r="D10" s="18">
        <v>46658</v>
      </c>
      <c r="E10" s="18">
        <v>46303</v>
      </c>
      <c r="F10" s="18">
        <v>46379</v>
      </c>
      <c r="G10" s="19" t="s">
        <v>70</v>
      </c>
      <c r="H10" s="20">
        <f>IF(A10="","",COUNTIF('Restrições'!$A$5:$A$604,A10))</f>
        <v>3</v>
      </c>
      <c r="I10" s="20">
        <f>IF(A10="","",COUNTIFS('Restrições'!$A$5:$A$604,A10,'Restrições'!$G$5:$G$604,"&lt;&gt;"))</f>
        <v>1</v>
      </c>
      <c r="J10" s="20">
        <f>IF(A10="","",H10-I10)</f>
        <v>2</v>
      </c>
    </row>
    <row r="11" spans="1:10" x14ac:dyDescent="0.25">
      <c r="A11" s="16" t="s">
        <v>71</v>
      </c>
      <c r="B11" s="17" t="s">
        <v>56</v>
      </c>
      <c r="C11" s="18">
        <v>46189</v>
      </c>
      <c r="D11" s="18">
        <v>46542</v>
      </c>
      <c r="E11" s="18">
        <v>46303</v>
      </c>
      <c r="F11" s="18">
        <v>46379</v>
      </c>
      <c r="G11" s="19" t="s">
        <v>57</v>
      </c>
      <c r="H11" s="20">
        <f>IF(A11="","",COUNTIF('Restrições'!$A$5:$A$604,A11))</f>
        <v>5</v>
      </c>
      <c r="I11" s="20">
        <f>IF(A11="","",COUNTIFS('Restrições'!$A$5:$A$604,A11,'Restrições'!$G$5:$G$604,"&lt;&gt;"))</f>
        <v>2</v>
      </c>
      <c r="J11" s="20">
        <f>IF(A11="","",H11-I11)</f>
        <v>3</v>
      </c>
    </row>
    <row r="12" spans="1:10" x14ac:dyDescent="0.25">
      <c r="A12" s="16" t="s">
        <v>72</v>
      </c>
      <c r="B12" s="17" t="s">
        <v>56</v>
      </c>
      <c r="C12" s="18">
        <v>46182</v>
      </c>
      <c r="D12" s="18">
        <v>46469</v>
      </c>
      <c r="E12" s="18">
        <v>46304</v>
      </c>
      <c r="F12" s="18">
        <v>46391</v>
      </c>
      <c r="G12" s="19" t="s">
        <v>73</v>
      </c>
      <c r="H12" s="20">
        <f>IF(A12="","",COUNTIF('Restrições'!$A$5:$A$604,A12))</f>
        <v>3</v>
      </c>
      <c r="I12" s="20">
        <f>IF(A12="","",COUNTIFS('Restrições'!$A$5:$A$604,A12,'Restrições'!$G$5:$G$604,"&lt;&gt;"))</f>
        <v>1</v>
      </c>
      <c r="J12" s="20">
        <f>IF(A12="","",H12-I12)</f>
        <v>2</v>
      </c>
    </row>
    <row r="13" spans="1:10" x14ac:dyDescent="0.25">
      <c r="A13" s="16" t="s">
        <v>74</v>
      </c>
      <c r="B13" s="17" t="s">
        <v>56</v>
      </c>
      <c r="C13" s="18">
        <v>46206</v>
      </c>
      <c r="D13" s="18">
        <v>46317</v>
      </c>
      <c r="E13" s="18">
        <v>46311</v>
      </c>
      <c r="F13" s="18">
        <v>46356</v>
      </c>
      <c r="G13" s="19" t="s">
        <v>75</v>
      </c>
      <c r="H13" s="20">
        <f>IF(A13="","",COUNTIF('Restrições'!$A$5:$A$604,A13))</f>
        <v>3</v>
      </c>
      <c r="I13" s="20">
        <f>IF(A13="","",COUNTIFS('Restrições'!$A$5:$A$604,A13,'Restrições'!$G$5:$G$604,"&lt;&gt;"))</f>
        <v>2</v>
      </c>
      <c r="J13" s="20">
        <f>IF(A13="","",H13-I13)</f>
        <v>1</v>
      </c>
    </row>
    <row r="14" spans="1:10" x14ac:dyDescent="0.25">
      <c r="A14" s="16" t="s">
        <v>76</v>
      </c>
      <c r="B14" s="17" t="s">
        <v>77</v>
      </c>
      <c r="C14" s="18">
        <v>46202</v>
      </c>
      <c r="D14" s="18">
        <v>46449</v>
      </c>
      <c r="E14" s="18">
        <v>46318</v>
      </c>
      <c r="F14" s="18">
        <v>46379</v>
      </c>
      <c r="G14" s="19" t="s">
        <v>78</v>
      </c>
      <c r="H14" s="20">
        <f>IF(A14="","",COUNTIF('Restrições'!$A$5:$A$604,A14))</f>
        <v>4</v>
      </c>
      <c r="I14" s="20">
        <f>IF(A14="","",COUNTIFS('Restrições'!$A$5:$A$604,A14,'Restrições'!$G$5:$G$604,"&lt;&gt;"))</f>
        <v>1</v>
      </c>
      <c r="J14" s="20">
        <f>IF(A14="","",H14-I14)</f>
        <v>3</v>
      </c>
    </row>
    <row r="15" spans="1:10" x14ac:dyDescent="0.25">
      <c r="A15" s="16" t="s">
        <v>79</v>
      </c>
      <c r="B15" s="17" t="s">
        <v>62</v>
      </c>
      <c r="C15" s="18">
        <v>46181</v>
      </c>
      <c r="D15" s="18">
        <v>46462</v>
      </c>
      <c r="E15" s="18">
        <v>46328</v>
      </c>
      <c r="F15" s="18">
        <v>46379</v>
      </c>
      <c r="G15" s="19" t="s">
        <v>80</v>
      </c>
      <c r="H15" s="20">
        <f>IF(A15="","",COUNTIF('Restrições'!$A$5:$A$604,A15))</f>
        <v>5</v>
      </c>
      <c r="I15" s="20">
        <f>IF(A15="","",COUNTIFS('Restrições'!$A$5:$A$604,A15,'Restrições'!$G$5:$G$604,"&lt;&gt;"))</f>
        <v>2</v>
      </c>
      <c r="J15" s="20">
        <f>IF(A15="","",H15-I15)</f>
        <v>3</v>
      </c>
    </row>
    <row r="16" spans="1:10" x14ac:dyDescent="0.25">
      <c r="A16" s="16" t="s">
        <v>81</v>
      </c>
      <c r="B16" s="17" t="s">
        <v>82</v>
      </c>
      <c r="C16" s="18">
        <v>46237</v>
      </c>
      <c r="D16" s="18">
        <v>46261</v>
      </c>
      <c r="E16" s="18">
        <v>46330</v>
      </c>
      <c r="F16" s="18">
        <v>46353</v>
      </c>
      <c r="G16" s="19" t="s">
        <v>83</v>
      </c>
      <c r="H16" s="20">
        <f>IF(A16="","",COUNTIF('Restrições'!$A$5:$A$604,A16))</f>
        <v>4</v>
      </c>
      <c r="I16" s="20">
        <f>IF(A16="","",COUNTIFS('Restrições'!$A$5:$A$604,A16,'Restrições'!$G$5:$G$604,"&lt;&gt;"))</f>
        <v>2</v>
      </c>
      <c r="J16" s="20">
        <f>IF(A16="","",H16-I16)</f>
        <v>2</v>
      </c>
    </row>
    <row r="17" spans="1:10" x14ac:dyDescent="0.25">
      <c r="A17" s="21"/>
      <c r="B17" s="17"/>
      <c r="C17" s="18"/>
      <c r="D17" s="18"/>
      <c r="E17" s="18"/>
      <c r="F17" s="18"/>
      <c r="G17" s="19"/>
      <c r="H17" s="20" t="str">
        <f>IF(A17="","",COUNTIF('Restrições'!$A$5:$A$604,A17))</f>
        <v/>
      </c>
      <c r="I17" s="20" t="str">
        <f>IF(A17="","",COUNTIFS('Restrições'!$A$5:$A$604,A17,'Restrições'!$G$5:$G$604,"&lt;&gt;"))</f>
        <v/>
      </c>
      <c r="J17" s="20" t="str">
        <f>IF(A17="","",H17-I17)</f>
        <v/>
      </c>
    </row>
    <row r="18" spans="1:10" x14ac:dyDescent="0.25">
      <c r="A18" s="21"/>
      <c r="B18" s="17"/>
      <c r="C18" s="18"/>
      <c r="D18" s="18"/>
      <c r="E18" s="18"/>
      <c r="F18" s="18"/>
      <c r="G18" s="19"/>
      <c r="H18" s="20" t="str">
        <f>IF(A18="","",COUNTIF('Restrições'!$A$5:$A$604,A18))</f>
        <v/>
      </c>
      <c r="I18" s="20" t="str">
        <f>IF(A18="","",COUNTIFS('Restrições'!$A$5:$A$604,A18,'Restrições'!$G$5:$G$604,"&lt;&gt;"))</f>
        <v/>
      </c>
      <c r="J18" s="20" t="str">
        <f>IF(A18="","",H18-I18)</f>
        <v/>
      </c>
    </row>
    <row r="19" spans="1:10" x14ac:dyDescent="0.25">
      <c r="A19" s="21"/>
      <c r="B19" s="17"/>
      <c r="C19" s="18"/>
      <c r="D19" s="18"/>
      <c r="E19" s="18"/>
      <c r="F19" s="18"/>
      <c r="G19" s="19"/>
      <c r="H19" s="20" t="str">
        <f>IF(A19="","",COUNTIF('Restrições'!$A$5:$A$604,A19))</f>
        <v/>
      </c>
      <c r="I19" s="20" t="str">
        <f>IF(A19="","",COUNTIFS('Restrições'!$A$5:$A$604,A19,'Restrições'!$G$5:$G$604,"&lt;&gt;"))</f>
        <v/>
      </c>
      <c r="J19" s="20" t="str">
        <f>IF(A19="","",H19-I19)</f>
        <v/>
      </c>
    </row>
    <row r="20" spans="1:10" x14ac:dyDescent="0.25">
      <c r="A20" s="21"/>
      <c r="B20" s="17"/>
      <c r="C20" s="18"/>
      <c r="D20" s="18"/>
      <c r="E20" s="18"/>
      <c r="F20" s="18"/>
      <c r="G20" s="19"/>
      <c r="H20" s="20" t="str">
        <f>IF(A20="","",COUNTIF('Restrições'!$A$5:$A$604,A20))</f>
        <v/>
      </c>
      <c r="I20" s="20" t="str">
        <f>IF(A20="","",COUNTIFS('Restrições'!$A$5:$A$604,A20,'Restrições'!$G$5:$G$604,"&lt;&gt;"))</f>
        <v/>
      </c>
      <c r="J20" s="20" t="str">
        <f>IF(A20="","",H20-I20)</f>
        <v/>
      </c>
    </row>
    <row r="21" spans="1:10" x14ac:dyDescent="0.25">
      <c r="A21" s="21"/>
      <c r="B21" s="17"/>
      <c r="C21" s="18"/>
      <c r="D21" s="18"/>
      <c r="E21" s="18"/>
      <c r="F21" s="18"/>
      <c r="G21" s="19"/>
      <c r="H21" s="20" t="str">
        <f>IF(A21="","",COUNTIF('Restrições'!$A$5:$A$604,A21))</f>
        <v/>
      </c>
      <c r="I21" s="20" t="str">
        <f>IF(A21="","",COUNTIFS('Restrições'!$A$5:$A$604,A21,'Restrições'!$G$5:$G$604,"&lt;&gt;"))</f>
        <v/>
      </c>
      <c r="J21" s="20" t="str">
        <f>IF(A21="","",H21-I21)</f>
        <v/>
      </c>
    </row>
    <row r="22" spans="1:10" x14ac:dyDescent="0.25">
      <c r="A22" s="21"/>
      <c r="B22" s="17"/>
      <c r="C22" s="18"/>
      <c r="D22" s="18"/>
      <c r="E22" s="18"/>
      <c r="F22" s="18"/>
      <c r="G22" s="19"/>
      <c r="H22" s="20" t="str">
        <f>IF(A22="","",COUNTIF('Restrições'!$A$5:$A$604,A22))</f>
        <v/>
      </c>
      <c r="I22" s="20" t="str">
        <f>IF(A22="","",COUNTIFS('Restrições'!$A$5:$A$604,A22,'Restrições'!$G$5:$G$604,"&lt;&gt;"))</f>
        <v/>
      </c>
      <c r="J22" s="20" t="str">
        <f>IF(A22="","",H22-I22)</f>
        <v/>
      </c>
    </row>
    <row r="23" spans="1:10" x14ac:dyDescent="0.25">
      <c r="A23" s="21"/>
      <c r="B23" s="17"/>
      <c r="C23" s="18"/>
      <c r="D23" s="18"/>
      <c r="E23" s="18"/>
      <c r="F23" s="18"/>
      <c r="G23" s="19"/>
      <c r="H23" s="20" t="str">
        <f>IF(A23="","",COUNTIF('Restrições'!$A$5:$A$604,A23))</f>
        <v/>
      </c>
      <c r="I23" s="20" t="str">
        <f>IF(A23="","",COUNTIFS('Restrições'!$A$5:$A$604,A23,'Restrições'!$G$5:$G$604,"&lt;&gt;"))</f>
        <v/>
      </c>
      <c r="J23" s="20" t="str">
        <f>IF(A23="","",H23-I23)</f>
        <v/>
      </c>
    </row>
    <row r="24" spans="1:10" x14ac:dyDescent="0.25">
      <c r="A24" s="21"/>
      <c r="B24" s="17"/>
      <c r="C24" s="18"/>
      <c r="D24" s="18"/>
      <c r="E24" s="18"/>
      <c r="F24" s="18"/>
      <c r="G24" s="19"/>
      <c r="H24" s="20" t="str">
        <f>IF(A24="","",COUNTIF('Restrições'!$A$5:$A$604,A24))</f>
        <v/>
      </c>
      <c r="I24" s="20" t="str">
        <f>IF(A24="","",COUNTIFS('Restrições'!$A$5:$A$604,A24,'Restrições'!$G$5:$G$604,"&lt;&gt;"))</f>
        <v/>
      </c>
      <c r="J24" s="20" t="str">
        <f>IF(A24="","",H24-I24)</f>
        <v/>
      </c>
    </row>
    <row r="25" spans="1:10" x14ac:dyDescent="0.25">
      <c r="A25" s="21"/>
      <c r="B25" s="17"/>
      <c r="C25" s="18"/>
      <c r="D25" s="18"/>
      <c r="E25" s="18"/>
      <c r="F25" s="18"/>
      <c r="G25" s="19"/>
      <c r="H25" s="20" t="str">
        <f>IF(A25="","",COUNTIF('Restrições'!$A$5:$A$604,A25))</f>
        <v/>
      </c>
      <c r="I25" s="20" t="str">
        <f>IF(A25="","",COUNTIFS('Restrições'!$A$5:$A$604,A25,'Restrições'!$G$5:$G$604,"&lt;&gt;"))</f>
        <v/>
      </c>
      <c r="J25" s="20" t="str">
        <f>IF(A25="","",H25-I25)</f>
        <v/>
      </c>
    </row>
    <row r="26" spans="1:10" x14ac:dyDescent="0.25">
      <c r="A26" s="21"/>
      <c r="B26" s="17"/>
      <c r="C26" s="18"/>
      <c r="D26" s="18"/>
      <c r="E26" s="18"/>
      <c r="F26" s="18"/>
      <c r="G26" s="19"/>
      <c r="H26" s="20" t="str">
        <f>IF(A26="","",COUNTIF('Restrições'!$A$5:$A$604,A26))</f>
        <v/>
      </c>
      <c r="I26" s="20" t="str">
        <f>IF(A26="","",COUNTIFS('Restrições'!$A$5:$A$604,A26,'Restrições'!$G$5:$G$604,"&lt;&gt;"))</f>
        <v/>
      </c>
      <c r="J26" s="20" t="str">
        <f>IF(A26="","",H26-I26)</f>
        <v/>
      </c>
    </row>
    <row r="27" spans="1:10" x14ac:dyDescent="0.25">
      <c r="A27" s="21"/>
      <c r="B27" s="17"/>
      <c r="C27" s="18"/>
      <c r="D27" s="18"/>
      <c r="E27" s="18"/>
      <c r="F27" s="18"/>
      <c r="G27" s="19"/>
      <c r="H27" s="20" t="str">
        <f>IF(A27="","",COUNTIF('Restrições'!$A$5:$A$604,A27))</f>
        <v/>
      </c>
      <c r="I27" s="20" t="str">
        <f>IF(A27="","",COUNTIFS('Restrições'!$A$5:$A$604,A27,'Restrições'!$G$5:$G$604,"&lt;&gt;"))</f>
        <v/>
      </c>
      <c r="J27" s="20" t="str">
        <f>IF(A27="","",H27-I27)</f>
        <v/>
      </c>
    </row>
    <row r="28" spans="1:10" x14ac:dyDescent="0.25">
      <c r="A28" s="21"/>
      <c r="B28" s="17"/>
      <c r="C28" s="18"/>
      <c r="D28" s="18"/>
      <c r="E28" s="18"/>
      <c r="F28" s="18"/>
      <c r="G28" s="19"/>
      <c r="H28" s="20" t="str">
        <f>IF(A28="","",COUNTIF('Restrições'!$A$5:$A$604,A28))</f>
        <v/>
      </c>
      <c r="I28" s="20" t="str">
        <f>IF(A28="","",COUNTIFS('Restrições'!$A$5:$A$604,A28,'Restrições'!$G$5:$G$604,"&lt;&gt;"))</f>
        <v/>
      </c>
      <c r="J28" s="20" t="str">
        <f>IF(A28="","",H28-I28)</f>
        <v/>
      </c>
    </row>
    <row r="29" spans="1:10" x14ac:dyDescent="0.25">
      <c r="A29" s="21"/>
      <c r="B29" s="17"/>
      <c r="C29" s="18"/>
      <c r="D29" s="18"/>
      <c r="E29" s="18"/>
      <c r="F29" s="18"/>
      <c r="G29" s="19"/>
      <c r="H29" s="20" t="str">
        <f>IF(A29="","",COUNTIF('Restrições'!$A$5:$A$604,A29))</f>
        <v/>
      </c>
      <c r="I29" s="20" t="str">
        <f>IF(A29="","",COUNTIFS('Restrições'!$A$5:$A$604,A29,'Restrições'!$G$5:$G$604,"&lt;&gt;"))</f>
        <v/>
      </c>
      <c r="J29" s="20" t="str">
        <f>IF(A29="","",H29-I29)</f>
        <v/>
      </c>
    </row>
    <row r="30" spans="1:10" x14ac:dyDescent="0.25">
      <c r="A30" s="21"/>
      <c r="B30" s="17"/>
      <c r="C30" s="18"/>
      <c r="D30" s="18"/>
      <c r="E30" s="18"/>
      <c r="F30" s="18"/>
      <c r="G30" s="19"/>
      <c r="H30" s="20" t="str">
        <f>IF(A30="","",COUNTIF('Restrições'!$A$5:$A$604,A30))</f>
        <v/>
      </c>
      <c r="I30" s="20" t="str">
        <f>IF(A30="","",COUNTIFS('Restrições'!$A$5:$A$604,A30,'Restrições'!$G$5:$G$604,"&lt;&gt;"))</f>
        <v/>
      </c>
      <c r="J30" s="20" t="str">
        <f>IF(A30="","",H30-I30)</f>
        <v/>
      </c>
    </row>
    <row r="31" spans="1:10" x14ac:dyDescent="0.25">
      <c r="A31" s="21"/>
      <c r="B31" s="17"/>
      <c r="C31" s="18"/>
      <c r="D31" s="18"/>
      <c r="E31" s="18"/>
      <c r="F31" s="18"/>
      <c r="G31" s="19"/>
      <c r="H31" s="20" t="str">
        <f>IF(A31="","",COUNTIF('Restrições'!$A$5:$A$604,A31))</f>
        <v/>
      </c>
      <c r="I31" s="20" t="str">
        <f>IF(A31="","",COUNTIFS('Restrições'!$A$5:$A$604,A31,'Restrições'!$G$5:$G$604,"&lt;&gt;"))</f>
        <v/>
      </c>
      <c r="J31" s="20" t="str">
        <f>IF(A31="","",H31-I31)</f>
        <v/>
      </c>
    </row>
    <row r="32" spans="1:10" x14ac:dyDescent="0.25">
      <c r="A32" s="21"/>
      <c r="B32" s="17"/>
      <c r="C32" s="18"/>
      <c r="D32" s="18"/>
      <c r="E32" s="18"/>
      <c r="F32" s="18"/>
      <c r="G32" s="19"/>
      <c r="H32" s="20" t="str">
        <f>IF(A32="","",COUNTIF('Restrições'!$A$5:$A$604,A32))</f>
        <v/>
      </c>
      <c r="I32" s="20" t="str">
        <f>IF(A32="","",COUNTIFS('Restrições'!$A$5:$A$604,A32,'Restrições'!$G$5:$G$604,"&lt;&gt;"))</f>
        <v/>
      </c>
      <c r="J32" s="20" t="str">
        <f>IF(A32="","",H32-I32)</f>
        <v/>
      </c>
    </row>
    <row r="33" spans="1:10" x14ac:dyDescent="0.25">
      <c r="A33" s="21"/>
      <c r="B33" s="17"/>
      <c r="C33" s="18"/>
      <c r="D33" s="18"/>
      <c r="E33" s="18"/>
      <c r="F33" s="18"/>
      <c r="G33" s="19"/>
      <c r="H33" s="20" t="str">
        <f>IF(A33="","",COUNTIF('Restrições'!$A$5:$A$604,A33))</f>
        <v/>
      </c>
      <c r="I33" s="20" t="str">
        <f>IF(A33="","",COUNTIFS('Restrições'!$A$5:$A$604,A33,'Restrições'!$G$5:$G$604,"&lt;&gt;"))</f>
        <v/>
      </c>
      <c r="J33" s="20" t="str">
        <f>IF(A33="","",H33-I33)</f>
        <v/>
      </c>
    </row>
    <row r="34" spans="1:10" x14ac:dyDescent="0.25">
      <c r="A34" s="21"/>
      <c r="B34" s="17"/>
      <c r="C34" s="18"/>
      <c r="D34" s="18"/>
      <c r="E34" s="18"/>
      <c r="F34" s="18"/>
      <c r="G34" s="19"/>
      <c r="H34" s="20" t="str">
        <f>IF(A34="","",COUNTIF('Restrições'!$A$5:$A$604,A34))</f>
        <v/>
      </c>
      <c r="I34" s="20" t="str">
        <f>IF(A34="","",COUNTIFS('Restrições'!$A$5:$A$604,A34,'Restrições'!$G$5:$G$604,"&lt;&gt;"))</f>
        <v/>
      </c>
      <c r="J34" s="20" t="str">
        <f>IF(A34="","",H34-I34)</f>
        <v/>
      </c>
    </row>
    <row r="35" spans="1:10" x14ac:dyDescent="0.25">
      <c r="A35" s="21"/>
      <c r="B35" s="17"/>
      <c r="C35" s="18"/>
      <c r="D35" s="18"/>
      <c r="E35" s="18"/>
      <c r="F35" s="18"/>
      <c r="G35" s="19"/>
      <c r="H35" s="20" t="str">
        <f>IF(A35="","",COUNTIF('Restrições'!$A$5:$A$604,A35))</f>
        <v/>
      </c>
      <c r="I35" s="20" t="str">
        <f>IF(A35="","",COUNTIFS('Restrições'!$A$5:$A$604,A35,'Restrições'!$G$5:$G$604,"&lt;&gt;"))</f>
        <v/>
      </c>
      <c r="J35" s="20" t="str">
        <f>IF(A35="","",H35-I35)</f>
        <v/>
      </c>
    </row>
    <row r="36" spans="1:10" x14ac:dyDescent="0.25">
      <c r="A36" s="21"/>
      <c r="B36" s="17"/>
      <c r="C36" s="18"/>
      <c r="D36" s="18"/>
      <c r="E36" s="18"/>
      <c r="F36" s="18"/>
      <c r="G36" s="19"/>
      <c r="H36" s="20" t="str">
        <f>IF(A36="","",COUNTIF('Restrições'!$A$5:$A$604,A36))</f>
        <v/>
      </c>
      <c r="I36" s="20" t="str">
        <f>IF(A36="","",COUNTIFS('Restrições'!$A$5:$A$604,A36,'Restrições'!$G$5:$G$604,"&lt;&gt;"))</f>
        <v/>
      </c>
      <c r="J36" s="20" t="str">
        <f>IF(A36="","",H36-I36)</f>
        <v/>
      </c>
    </row>
    <row r="37" spans="1:10" x14ac:dyDescent="0.25">
      <c r="A37" s="21"/>
      <c r="B37" s="17"/>
      <c r="C37" s="18"/>
      <c r="D37" s="18"/>
      <c r="E37" s="18"/>
      <c r="F37" s="18"/>
      <c r="G37" s="19"/>
      <c r="H37" s="20" t="str">
        <f>IF(A37="","",COUNTIF('Restrições'!$A$5:$A$604,A37))</f>
        <v/>
      </c>
      <c r="I37" s="20" t="str">
        <f>IF(A37="","",COUNTIFS('Restrições'!$A$5:$A$604,A37,'Restrições'!$G$5:$G$604,"&lt;&gt;"))</f>
        <v/>
      </c>
      <c r="J37" s="20" t="str">
        <f>IF(A37="","",H37-I37)</f>
        <v/>
      </c>
    </row>
    <row r="38" spans="1:10" x14ac:dyDescent="0.25">
      <c r="A38" s="21"/>
      <c r="B38" s="17"/>
      <c r="C38" s="18"/>
      <c r="D38" s="18"/>
      <c r="E38" s="18"/>
      <c r="F38" s="18"/>
      <c r="G38" s="19"/>
      <c r="H38" s="20" t="str">
        <f>IF(A38="","",COUNTIF('Restrições'!$A$5:$A$604,A38))</f>
        <v/>
      </c>
      <c r="I38" s="20" t="str">
        <f>IF(A38="","",COUNTIFS('Restrições'!$A$5:$A$604,A38,'Restrições'!$G$5:$G$604,"&lt;&gt;"))</f>
        <v/>
      </c>
      <c r="J38" s="20" t="str">
        <f>IF(A38="","",H38-I38)</f>
        <v/>
      </c>
    </row>
    <row r="39" spans="1:10" x14ac:dyDescent="0.25">
      <c r="A39" s="21"/>
      <c r="B39" s="17"/>
      <c r="C39" s="18"/>
      <c r="D39" s="18"/>
      <c r="E39" s="18"/>
      <c r="F39" s="18"/>
      <c r="G39" s="19"/>
      <c r="H39" s="20" t="str">
        <f>IF(A39="","",COUNTIF('Restrições'!$A$5:$A$604,A39))</f>
        <v/>
      </c>
      <c r="I39" s="20" t="str">
        <f>IF(A39="","",COUNTIFS('Restrições'!$A$5:$A$604,A39,'Restrições'!$G$5:$G$604,"&lt;&gt;"))</f>
        <v/>
      </c>
      <c r="J39" s="20" t="str">
        <f>IF(A39="","",H39-I39)</f>
        <v/>
      </c>
    </row>
    <row r="40" spans="1:10" x14ac:dyDescent="0.25">
      <c r="A40" s="21"/>
      <c r="B40" s="17"/>
      <c r="C40" s="18"/>
      <c r="D40" s="18"/>
      <c r="E40" s="18"/>
      <c r="F40" s="18"/>
      <c r="G40" s="19"/>
      <c r="H40" s="20" t="str">
        <f>IF(A40="","",COUNTIF('Restrições'!$A$5:$A$604,A40))</f>
        <v/>
      </c>
      <c r="I40" s="20" t="str">
        <f>IF(A40="","",COUNTIFS('Restrições'!$A$5:$A$604,A40,'Restrições'!$G$5:$G$604,"&lt;&gt;"))</f>
        <v/>
      </c>
      <c r="J40" s="20" t="str">
        <f>IF(A40="","",H40-I40)</f>
        <v/>
      </c>
    </row>
    <row r="41" spans="1:10" x14ac:dyDescent="0.25">
      <c r="A41" s="21"/>
      <c r="B41" s="17"/>
      <c r="C41" s="18"/>
      <c r="D41" s="18"/>
      <c r="E41" s="18"/>
      <c r="F41" s="18"/>
      <c r="G41" s="19"/>
      <c r="H41" s="20" t="str">
        <f>IF(A41="","",COUNTIF('Restrições'!$A$5:$A$604,A41))</f>
        <v/>
      </c>
      <c r="I41" s="20" t="str">
        <f>IF(A41="","",COUNTIFS('Restrições'!$A$5:$A$604,A41,'Restrições'!$G$5:$G$604,"&lt;&gt;"))</f>
        <v/>
      </c>
      <c r="J41" s="20" t="str">
        <f>IF(A41="","",H41-I41)</f>
        <v/>
      </c>
    </row>
    <row r="42" spans="1:10" x14ac:dyDescent="0.25">
      <c r="A42" s="21"/>
      <c r="B42" s="17"/>
      <c r="C42" s="18"/>
      <c r="D42" s="18"/>
      <c r="E42" s="18"/>
      <c r="F42" s="18"/>
      <c r="G42" s="19"/>
      <c r="H42" s="20" t="str">
        <f>IF(A42="","",COUNTIF('Restrições'!$A$5:$A$604,A42))</f>
        <v/>
      </c>
      <c r="I42" s="20" t="str">
        <f>IF(A42="","",COUNTIFS('Restrições'!$A$5:$A$604,A42,'Restrições'!$G$5:$G$604,"&lt;&gt;"))</f>
        <v/>
      </c>
      <c r="J42" s="20" t="str">
        <f>IF(A42="","",H42-I42)</f>
        <v/>
      </c>
    </row>
    <row r="43" spans="1:10" x14ac:dyDescent="0.25">
      <c r="A43" s="21"/>
      <c r="B43" s="17"/>
      <c r="C43" s="18"/>
      <c r="D43" s="18"/>
      <c r="E43" s="18"/>
      <c r="F43" s="18"/>
      <c r="G43" s="19"/>
      <c r="H43" s="20" t="str">
        <f>IF(A43="","",COUNTIF('Restrições'!$A$5:$A$604,A43))</f>
        <v/>
      </c>
      <c r="I43" s="20" t="str">
        <f>IF(A43="","",COUNTIFS('Restrições'!$A$5:$A$604,A43,'Restrições'!$G$5:$G$604,"&lt;&gt;"))</f>
        <v/>
      </c>
      <c r="J43" s="20" t="str">
        <f>IF(A43="","",H43-I43)</f>
        <v/>
      </c>
    </row>
    <row r="44" spans="1:10" x14ac:dyDescent="0.25">
      <c r="A44" s="21"/>
      <c r="B44" s="17"/>
      <c r="C44" s="18"/>
      <c r="D44" s="18"/>
      <c r="E44" s="18"/>
      <c r="F44" s="18"/>
      <c r="G44" s="19"/>
      <c r="H44" s="20" t="str">
        <f>IF(A44="","",COUNTIF('Restrições'!$A$5:$A$604,A44))</f>
        <v/>
      </c>
      <c r="I44" s="20" t="str">
        <f>IF(A44="","",COUNTIFS('Restrições'!$A$5:$A$604,A44,'Restrições'!$G$5:$G$604,"&lt;&gt;"))</f>
        <v/>
      </c>
      <c r="J44" s="20" t="str">
        <f>IF(A44="","",H44-I44)</f>
        <v/>
      </c>
    </row>
    <row r="45" spans="1:10" x14ac:dyDescent="0.25">
      <c r="A45" s="21"/>
      <c r="B45" s="17"/>
      <c r="C45" s="18"/>
      <c r="D45" s="18"/>
      <c r="E45" s="18"/>
      <c r="F45" s="18"/>
      <c r="G45" s="19"/>
      <c r="H45" s="20" t="str">
        <f>IF(A45="","",COUNTIF('Restrições'!$A$5:$A$604,A45))</f>
        <v/>
      </c>
      <c r="I45" s="20" t="str">
        <f>IF(A45="","",COUNTIFS('Restrições'!$A$5:$A$604,A45,'Restrições'!$G$5:$G$604,"&lt;&gt;"))</f>
        <v/>
      </c>
      <c r="J45" s="20" t="str">
        <f>IF(A45="","",H45-I45)</f>
        <v/>
      </c>
    </row>
    <row r="46" spans="1:10" x14ac:dyDescent="0.25">
      <c r="A46" s="21"/>
      <c r="B46" s="17"/>
      <c r="C46" s="18"/>
      <c r="D46" s="18"/>
      <c r="E46" s="18"/>
      <c r="F46" s="18"/>
      <c r="G46" s="19"/>
      <c r="H46" s="20" t="str">
        <f>IF(A46="","",COUNTIF('Restrições'!$A$5:$A$604,A46))</f>
        <v/>
      </c>
      <c r="I46" s="20" t="str">
        <f>IF(A46="","",COUNTIFS('Restrições'!$A$5:$A$604,A46,'Restrições'!$G$5:$G$604,"&lt;&gt;"))</f>
        <v/>
      </c>
      <c r="J46" s="20" t="str">
        <f>IF(A46="","",H46-I46)</f>
        <v/>
      </c>
    </row>
    <row r="47" spans="1:10" x14ac:dyDescent="0.25">
      <c r="A47" s="21"/>
      <c r="B47" s="17"/>
      <c r="C47" s="18"/>
      <c r="D47" s="18"/>
      <c r="E47" s="18"/>
      <c r="F47" s="18"/>
      <c r="G47" s="19"/>
      <c r="H47" s="20" t="str">
        <f>IF(A47="","",COUNTIF('Restrições'!$A$5:$A$604,A47))</f>
        <v/>
      </c>
      <c r="I47" s="20" t="str">
        <f>IF(A47="","",COUNTIFS('Restrições'!$A$5:$A$604,A47,'Restrições'!$G$5:$G$604,"&lt;&gt;"))</f>
        <v/>
      </c>
      <c r="J47" s="20" t="str">
        <f>IF(A47="","",H47-I47)</f>
        <v/>
      </c>
    </row>
    <row r="48" spans="1:10" x14ac:dyDescent="0.25">
      <c r="A48" s="21"/>
      <c r="B48" s="17"/>
      <c r="C48" s="18"/>
      <c r="D48" s="18"/>
      <c r="E48" s="18"/>
      <c r="F48" s="18"/>
      <c r="G48" s="19"/>
      <c r="H48" s="20" t="str">
        <f>IF(A48="","",COUNTIF('Restrições'!$A$5:$A$604,A48))</f>
        <v/>
      </c>
      <c r="I48" s="20" t="str">
        <f>IF(A48="","",COUNTIFS('Restrições'!$A$5:$A$604,A48,'Restrições'!$G$5:$G$604,"&lt;&gt;"))</f>
        <v/>
      </c>
      <c r="J48" s="20" t="str">
        <f>IF(A48="","",H48-I48)</f>
        <v/>
      </c>
    </row>
    <row r="49" spans="1:10" x14ac:dyDescent="0.25">
      <c r="A49" s="21"/>
      <c r="B49" s="17"/>
      <c r="C49" s="18"/>
      <c r="D49" s="18"/>
      <c r="E49" s="18"/>
      <c r="F49" s="18"/>
      <c r="G49" s="19"/>
      <c r="H49" s="20" t="str">
        <f>IF(A49="","",COUNTIF('Restrições'!$A$5:$A$604,A49))</f>
        <v/>
      </c>
      <c r="I49" s="20" t="str">
        <f>IF(A49="","",COUNTIFS('Restrições'!$A$5:$A$604,A49,'Restrições'!$G$5:$G$604,"&lt;&gt;"))</f>
        <v/>
      </c>
      <c r="J49" s="20" t="str">
        <f>IF(A49="","",H49-I49)</f>
        <v/>
      </c>
    </row>
    <row r="50" spans="1:10" x14ac:dyDescent="0.25">
      <c r="A50" s="21"/>
      <c r="B50" s="17"/>
      <c r="C50" s="18"/>
      <c r="D50" s="18"/>
      <c r="E50" s="18"/>
      <c r="F50" s="18"/>
      <c r="G50" s="19"/>
      <c r="H50" s="20" t="str">
        <f>IF(A50="","",COUNTIF('Restrições'!$A$5:$A$604,A50))</f>
        <v/>
      </c>
      <c r="I50" s="20" t="str">
        <f>IF(A50="","",COUNTIFS('Restrições'!$A$5:$A$604,A50,'Restrições'!$G$5:$G$604,"&lt;&gt;"))</f>
        <v/>
      </c>
      <c r="J50" s="20" t="str">
        <f>IF(A50="","",H50-I50)</f>
        <v/>
      </c>
    </row>
    <row r="51" spans="1:10" x14ac:dyDescent="0.25">
      <c r="A51" s="21"/>
      <c r="B51" s="17"/>
      <c r="C51" s="18"/>
      <c r="D51" s="18"/>
      <c r="E51" s="18"/>
      <c r="F51" s="18"/>
      <c r="G51" s="19"/>
      <c r="H51" s="20" t="str">
        <f>IF(A51="","",COUNTIF('Restrições'!$A$5:$A$604,A51))</f>
        <v/>
      </c>
      <c r="I51" s="20" t="str">
        <f>IF(A51="","",COUNTIFS('Restrições'!$A$5:$A$604,A51,'Restrições'!$G$5:$G$604,"&lt;&gt;"))</f>
        <v/>
      </c>
      <c r="J51" s="20" t="str">
        <f>IF(A51="","",H51-I51)</f>
        <v/>
      </c>
    </row>
    <row r="52" spans="1:10" x14ac:dyDescent="0.25">
      <c r="A52" s="21"/>
      <c r="B52" s="17"/>
      <c r="C52" s="18"/>
      <c r="D52" s="18"/>
      <c r="E52" s="18"/>
      <c r="F52" s="18"/>
      <c r="G52" s="19"/>
      <c r="H52" s="20" t="str">
        <f>IF(A52="","",COUNTIF('Restrições'!$A$5:$A$604,A52))</f>
        <v/>
      </c>
      <c r="I52" s="20" t="str">
        <f>IF(A52="","",COUNTIFS('Restrições'!$A$5:$A$604,A52,'Restrições'!$G$5:$G$604,"&lt;&gt;"))</f>
        <v/>
      </c>
      <c r="J52" s="20" t="str">
        <f>IF(A52="","",H52-I52)</f>
        <v/>
      </c>
    </row>
    <row r="53" spans="1:10" x14ac:dyDescent="0.25">
      <c r="A53" s="21"/>
      <c r="B53" s="17"/>
      <c r="C53" s="18"/>
      <c r="D53" s="18"/>
      <c r="E53" s="18"/>
      <c r="F53" s="18"/>
      <c r="G53" s="19"/>
      <c r="H53" s="20" t="str">
        <f>IF(A53="","",COUNTIF('Restrições'!$A$5:$A$604,A53))</f>
        <v/>
      </c>
      <c r="I53" s="20" t="str">
        <f>IF(A53="","",COUNTIFS('Restrições'!$A$5:$A$604,A53,'Restrições'!$G$5:$G$604,"&lt;&gt;"))</f>
        <v/>
      </c>
      <c r="J53" s="20" t="str">
        <f>IF(A53="","",H53-I53)</f>
        <v/>
      </c>
    </row>
    <row r="54" spans="1:10" x14ac:dyDescent="0.25">
      <c r="A54" s="21"/>
      <c r="B54" s="17"/>
      <c r="C54" s="18"/>
      <c r="D54" s="18"/>
      <c r="E54" s="18"/>
      <c r="F54" s="18"/>
      <c r="G54" s="19"/>
      <c r="H54" s="20" t="str">
        <f>IF(A54="","",COUNTIF('Restrições'!$A$5:$A$604,A54))</f>
        <v/>
      </c>
      <c r="I54" s="20" t="str">
        <f>IF(A54="","",COUNTIFS('Restrições'!$A$5:$A$604,A54,'Restrições'!$G$5:$G$604,"&lt;&gt;"))</f>
        <v/>
      </c>
      <c r="J54" s="20" t="str">
        <f>IF(A54="","",H54-I54)</f>
        <v/>
      </c>
    </row>
    <row r="55" spans="1:10" x14ac:dyDescent="0.25">
      <c r="A55" s="21"/>
      <c r="B55" s="17"/>
      <c r="C55" s="18"/>
      <c r="D55" s="18"/>
      <c r="E55" s="18"/>
      <c r="F55" s="18"/>
      <c r="G55" s="19"/>
      <c r="H55" s="20" t="str">
        <f>IF(A55="","",COUNTIF('Restrições'!$A$5:$A$604,A55))</f>
        <v/>
      </c>
      <c r="I55" s="20" t="str">
        <f>IF(A55="","",COUNTIFS('Restrições'!$A$5:$A$604,A55,'Restrições'!$G$5:$G$604,"&lt;&gt;"))</f>
        <v/>
      </c>
      <c r="J55" s="20" t="str">
        <f>IF(A55="","",H55-I55)</f>
        <v/>
      </c>
    </row>
    <row r="56" spans="1:10" x14ac:dyDescent="0.25">
      <c r="A56" s="21"/>
      <c r="B56" s="17"/>
      <c r="C56" s="18"/>
      <c r="D56" s="18"/>
      <c r="E56" s="18"/>
      <c r="F56" s="18"/>
      <c r="G56" s="19"/>
      <c r="H56" s="20" t="str">
        <f>IF(A56="","",COUNTIF('Restrições'!$A$5:$A$604,A56))</f>
        <v/>
      </c>
      <c r="I56" s="20" t="str">
        <f>IF(A56="","",COUNTIFS('Restrições'!$A$5:$A$604,A56,'Restrições'!$G$5:$G$604,"&lt;&gt;"))</f>
        <v/>
      </c>
      <c r="J56" s="20" t="str">
        <f>IF(A56="","",H56-I56)</f>
        <v/>
      </c>
    </row>
    <row r="57" spans="1:10" x14ac:dyDescent="0.25">
      <c r="A57" s="21"/>
      <c r="B57" s="17"/>
      <c r="C57" s="18"/>
      <c r="D57" s="18"/>
      <c r="E57" s="18"/>
      <c r="F57" s="18"/>
      <c r="G57" s="19"/>
      <c r="H57" s="20" t="str">
        <f>IF(A57="","",COUNTIF('Restrições'!$A$5:$A$604,A57))</f>
        <v/>
      </c>
      <c r="I57" s="20" t="str">
        <f>IF(A57="","",COUNTIFS('Restrições'!$A$5:$A$604,A57,'Restrições'!$G$5:$G$604,"&lt;&gt;"))</f>
        <v/>
      </c>
      <c r="J57" s="20" t="str">
        <f>IF(A57="","",H57-I57)</f>
        <v/>
      </c>
    </row>
    <row r="58" spans="1:10" x14ac:dyDescent="0.25">
      <c r="A58" s="21"/>
      <c r="B58" s="17"/>
      <c r="C58" s="18"/>
      <c r="D58" s="18"/>
      <c r="E58" s="18"/>
      <c r="F58" s="18"/>
      <c r="G58" s="19"/>
      <c r="H58" s="20" t="str">
        <f>IF(A58="","",COUNTIF('Restrições'!$A$5:$A$604,A58))</f>
        <v/>
      </c>
      <c r="I58" s="20" t="str">
        <f>IF(A58="","",COUNTIFS('Restrições'!$A$5:$A$604,A58,'Restrições'!$G$5:$G$604,"&lt;&gt;"))</f>
        <v/>
      </c>
      <c r="J58" s="20" t="str">
        <f>IF(A58="","",H58-I58)</f>
        <v/>
      </c>
    </row>
    <row r="59" spans="1:10" x14ac:dyDescent="0.25">
      <c r="A59" s="21"/>
      <c r="B59" s="17"/>
      <c r="C59" s="18"/>
      <c r="D59" s="18"/>
      <c r="E59" s="18"/>
      <c r="F59" s="18"/>
      <c r="G59" s="19"/>
      <c r="H59" s="20" t="str">
        <f>IF(A59="","",COUNTIF('Restrições'!$A$5:$A$604,A59))</f>
        <v/>
      </c>
      <c r="I59" s="20" t="str">
        <f>IF(A59="","",COUNTIFS('Restrições'!$A$5:$A$604,A59,'Restrições'!$G$5:$G$604,"&lt;&gt;"))</f>
        <v/>
      </c>
      <c r="J59" s="20" t="str">
        <f>IF(A59="","",H59-I59)</f>
        <v/>
      </c>
    </row>
    <row r="60" spans="1:10" x14ac:dyDescent="0.25">
      <c r="A60" s="21"/>
      <c r="B60" s="17"/>
      <c r="C60" s="18"/>
      <c r="D60" s="18"/>
      <c r="E60" s="18"/>
      <c r="F60" s="18"/>
      <c r="G60" s="19"/>
      <c r="H60" s="20" t="str">
        <f>IF(A60="","",COUNTIF('Restrições'!$A$5:$A$604,A60))</f>
        <v/>
      </c>
      <c r="I60" s="20" t="str">
        <f>IF(A60="","",COUNTIFS('Restrições'!$A$5:$A$604,A60,'Restrições'!$G$5:$G$604,"&lt;&gt;"))</f>
        <v/>
      </c>
      <c r="J60" s="20" t="str">
        <f>IF(A60="","",H60-I60)</f>
        <v/>
      </c>
    </row>
    <row r="61" spans="1:10" x14ac:dyDescent="0.25">
      <c r="A61" s="21"/>
      <c r="B61" s="17"/>
      <c r="C61" s="18"/>
      <c r="D61" s="18"/>
      <c r="E61" s="18"/>
      <c r="F61" s="18"/>
      <c r="G61" s="19"/>
      <c r="H61" s="20" t="str">
        <f>IF(A61="","",COUNTIF('Restrições'!$A$5:$A$604,A61))</f>
        <v/>
      </c>
      <c r="I61" s="20" t="str">
        <f>IF(A61="","",COUNTIFS('Restrições'!$A$5:$A$604,A61,'Restrições'!$G$5:$G$604,"&lt;&gt;"))</f>
        <v/>
      </c>
      <c r="J61" s="20" t="str">
        <f>IF(A61="","",H61-I61)</f>
        <v/>
      </c>
    </row>
    <row r="62" spans="1:10" x14ac:dyDescent="0.25">
      <c r="A62" s="21"/>
      <c r="B62" s="17"/>
      <c r="C62" s="18"/>
      <c r="D62" s="18"/>
      <c r="E62" s="18"/>
      <c r="F62" s="18"/>
      <c r="G62" s="19"/>
      <c r="H62" s="20" t="str">
        <f>IF(A62="","",COUNTIF('Restrições'!$A$5:$A$604,A62))</f>
        <v/>
      </c>
      <c r="I62" s="20" t="str">
        <f>IF(A62="","",COUNTIFS('Restrições'!$A$5:$A$604,A62,'Restrições'!$G$5:$G$604,"&lt;&gt;"))</f>
        <v/>
      </c>
      <c r="J62" s="20" t="str">
        <f>IF(A62="","",H62-I62)</f>
        <v/>
      </c>
    </row>
    <row r="63" spans="1:10" x14ac:dyDescent="0.25">
      <c r="A63" s="21"/>
      <c r="B63" s="17"/>
      <c r="C63" s="18"/>
      <c r="D63" s="18"/>
      <c r="E63" s="18"/>
      <c r="F63" s="18"/>
      <c r="G63" s="19"/>
      <c r="H63" s="20" t="str">
        <f>IF(A63="","",COUNTIF('Restrições'!$A$5:$A$604,A63))</f>
        <v/>
      </c>
      <c r="I63" s="20" t="str">
        <f>IF(A63="","",COUNTIFS('Restrições'!$A$5:$A$604,A63,'Restrições'!$G$5:$G$604,"&lt;&gt;"))</f>
        <v/>
      </c>
      <c r="J63" s="20" t="str">
        <f>IF(A63="","",H63-I63)</f>
        <v/>
      </c>
    </row>
    <row r="64" spans="1:10" x14ac:dyDescent="0.25">
      <c r="A64" s="21"/>
      <c r="B64" s="17"/>
      <c r="C64" s="18"/>
      <c r="D64" s="18"/>
      <c r="E64" s="18"/>
      <c r="F64" s="18"/>
      <c r="G64" s="19"/>
      <c r="H64" s="20" t="str">
        <f>IF(A64="","",COUNTIF('Restrições'!$A$5:$A$604,A64))</f>
        <v/>
      </c>
      <c r="I64" s="20" t="str">
        <f>IF(A64="","",COUNTIFS('Restrições'!$A$5:$A$604,A64,'Restrições'!$G$5:$G$604,"&lt;&gt;"))</f>
        <v/>
      </c>
      <c r="J64" s="20" t="str">
        <f>IF(A64="","",H64-I64)</f>
        <v/>
      </c>
    </row>
  </sheetData>
  <autoFilter ref="A4:J4"/>
  <mergeCells count="2">
    <mergeCell ref="A1:J1"/>
    <mergeCell ref="A2:J2"/>
  </mergeCells>
  <dataValidations count="1">
    <dataValidation type="textLength" operator="lessThan" allowBlank="1" showErrorMessage="1" errorTitle="Unidade" error="Use uma unidade curta, como m², m³, pontos ou un." sqref="B5:B64">
      <formula1>12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EB5"/>
    <pageSetUpPr fitToPage="1"/>
  </sheetPr>
  <dimension ref="A1:K604"/>
  <sheetViews>
    <sheetView workbookViewId="0" showGridLines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6" customWidth="1"/>
    <col min="2" max="2" width="19" customWidth="1"/>
    <col min="3" max="3" width="14" customWidth="1"/>
    <col min="4" max="4" width="50" customWidth="1"/>
    <col min="5" max="5" width="16" customWidth="1"/>
    <col min="6" max="6" width="15" customWidth="1"/>
    <col min="7" max="7" width="14" customWidth="1"/>
    <col min="8" max="9" width="12" customWidth="1"/>
    <col min="10" max="10" width="52" customWidth="1"/>
    <col min="11" max="11" width="13" customWidth="1"/>
  </cols>
  <sheetData>
    <row r="1" ht="26" customHeight="1" spans="1:11" x14ac:dyDescent="0.25">
      <c r="A1" s="13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ht="32" customHeight="1" spans="1:11" x14ac:dyDescent="0.25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6" customHeight="1" x14ac:dyDescent="0.25"/>
    <row r="4" ht="34" customHeight="1" spans="1:11" x14ac:dyDescent="0.25">
      <c r="A4" s="15" t="s">
        <v>45</v>
      </c>
      <c r="B4" s="15" t="s">
        <v>85</v>
      </c>
      <c r="C4" s="15" t="s">
        <v>86</v>
      </c>
      <c r="D4" s="15" t="s">
        <v>87</v>
      </c>
      <c r="E4" s="15" t="s">
        <v>88</v>
      </c>
      <c r="F4" s="15" t="s">
        <v>89</v>
      </c>
      <c r="G4" s="15" t="s">
        <v>90</v>
      </c>
      <c r="H4" s="15" t="s">
        <v>91</v>
      </c>
      <c r="I4" s="15" t="s">
        <v>92</v>
      </c>
      <c r="J4" s="15" t="s">
        <v>93</v>
      </c>
      <c r="K4" s="14" t="s">
        <v>94</v>
      </c>
    </row>
    <row r="5" spans="1:11" x14ac:dyDescent="0.25">
      <c r="A5" s="22" t="s">
        <v>55</v>
      </c>
      <c r="B5" s="21" t="s">
        <v>95</v>
      </c>
      <c r="C5" s="18">
        <v>46265</v>
      </c>
      <c r="D5" s="19" t="s">
        <v>96</v>
      </c>
      <c r="E5" s="21" t="s">
        <v>97</v>
      </c>
      <c r="F5" s="18">
        <v>46289</v>
      </c>
      <c r="G5" s="18">
        <v>46302</v>
      </c>
      <c r="H5" s="17" t="s">
        <v>98</v>
      </c>
      <c r="I5" s="17" t="s">
        <v>99</v>
      </c>
      <c r="J5" s="19"/>
      <c r="K5" s="23" t="str">
        <f>IF(A5="","",IF(G5&lt;&gt;"","Resolvida",IF(F5&lt;DataRef,"Vencida","No prazo")))</f>
        <v>Resolvida</v>
      </c>
    </row>
    <row r="6" spans="1:11" x14ac:dyDescent="0.25">
      <c r="A6" s="22" t="s">
        <v>55</v>
      </c>
      <c r="B6" s="21" t="s">
        <v>100</v>
      </c>
      <c r="C6" s="18">
        <v>46265</v>
      </c>
      <c r="D6" s="19" t="s">
        <v>101</v>
      </c>
      <c r="E6" s="21" t="s">
        <v>102</v>
      </c>
      <c r="F6" s="18">
        <v>46290</v>
      </c>
      <c r="G6" s="18">
        <v>46293</v>
      </c>
      <c r="H6" s="17" t="s">
        <v>99</v>
      </c>
      <c r="I6" s="17" t="s">
        <v>103</v>
      </c>
      <c r="J6" s="19"/>
      <c r="K6" s="23" t="str">
        <f>IF(A6="","",IF(G6&lt;&gt;"","Resolvida",IF(F6&lt;DataRef,"Vencida","No prazo")))</f>
        <v>Resolvida</v>
      </c>
    </row>
    <row r="7" spans="1:11" x14ac:dyDescent="0.25">
      <c r="A7" s="22" t="s">
        <v>55</v>
      </c>
      <c r="B7" s="21" t="s">
        <v>104</v>
      </c>
      <c r="C7" s="18">
        <v>46265</v>
      </c>
      <c r="D7" s="19" t="s">
        <v>105</v>
      </c>
      <c r="E7" s="21" t="s">
        <v>106</v>
      </c>
      <c r="F7" s="18">
        <v>46301</v>
      </c>
      <c r="G7" s="18"/>
      <c r="H7" s="17" t="s">
        <v>103</v>
      </c>
      <c r="I7" s="17" t="s">
        <v>98</v>
      </c>
      <c r="J7" s="19" t="s">
        <v>107</v>
      </c>
      <c r="K7" s="23" t="str">
        <f>IF(A7="","",IF(G7&lt;&gt;"","Resolvida",IF(F7&lt;DataRef,"Vencida","No prazo")))</f>
        <v>Vencida</v>
      </c>
    </row>
    <row r="8" spans="1:11" x14ac:dyDescent="0.25">
      <c r="A8" s="22" t="s">
        <v>55</v>
      </c>
      <c r="B8" s="21" t="s">
        <v>108</v>
      </c>
      <c r="C8" s="18">
        <v>46265</v>
      </c>
      <c r="D8" s="19" t="s">
        <v>109</v>
      </c>
      <c r="E8" s="21" t="s">
        <v>110</v>
      </c>
      <c r="F8" s="18">
        <v>46316</v>
      </c>
      <c r="G8" s="18"/>
      <c r="H8" s="17" t="s">
        <v>99</v>
      </c>
      <c r="I8" s="17" t="s">
        <v>98</v>
      </c>
      <c r="J8" s="19" t="s">
        <v>111</v>
      </c>
      <c r="K8" s="23" t="str">
        <f>IF(A8="","",IF(G8&lt;&gt;"","Resolvida",IF(F8&lt;DataRef,"Vencida","No prazo")))</f>
        <v>No prazo</v>
      </c>
    </row>
    <row r="9" spans="1:11" x14ac:dyDescent="0.25">
      <c r="A9" s="22" t="s">
        <v>55</v>
      </c>
      <c r="B9" s="21" t="s">
        <v>112</v>
      </c>
      <c r="C9" s="18">
        <v>46265</v>
      </c>
      <c r="D9" s="19" t="s">
        <v>113</v>
      </c>
      <c r="E9" s="21" t="s">
        <v>114</v>
      </c>
      <c r="F9" s="18">
        <v>46337</v>
      </c>
      <c r="G9" s="18"/>
      <c r="H9" s="17" t="s">
        <v>98</v>
      </c>
      <c r="I9" s="17" t="s">
        <v>98</v>
      </c>
      <c r="J9" s="19" t="s">
        <v>115</v>
      </c>
      <c r="K9" s="23" t="str">
        <f>IF(A9="","",IF(G9&lt;&gt;"","Resolvida",IF(F9&lt;DataRef,"Vencida","No prazo")))</f>
        <v>No prazo</v>
      </c>
    </row>
    <row r="10" spans="1:11" x14ac:dyDescent="0.25">
      <c r="A10" s="22" t="s">
        <v>55</v>
      </c>
      <c r="B10" s="21" t="s">
        <v>116</v>
      </c>
      <c r="C10" s="18">
        <v>46265</v>
      </c>
      <c r="D10" s="19" t="s">
        <v>117</v>
      </c>
      <c r="E10" s="21" t="s">
        <v>118</v>
      </c>
      <c r="F10" s="18">
        <v>46346</v>
      </c>
      <c r="G10" s="18"/>
      <c r="H10" s="17" t="s">
        <v>98</v>
      </c>
      <c r="I10" s="17" t="s">
        <v>98</v>
      </c>
      <c r="J10" s="19"/>
      <c r="K10" s="23" t="str">
        <f>IF(A10="","",IF(G10&lt;&gt;"","Resolvida",IF(F10&lt;DataRef,"Vencida","No prazo")))</f>
        <v>No prazo</v>
      </c>
    </row>
    <row r="11" spans="1:11" x14ac:dyDescent="0.25">
      <c r="A11" s="22" t="s">
        <v>58</v>
      </c>
      <c r="B11" s="21" t="s">
        <v>108</v>
      </c>
      <c r="C11" s="18">
        <v>46296</v>
      </c>
      <c r="D11" s="19" t="s">
        <v>119</v>
      </c>
      <c r="E11" s="21" t="s">
        <v>102</v>
      </c>
      <c r="F11" s="18">
        <v>46285</v>
      </c>
      <c r="G11" s="18">
        <v>46283</v>
      </c>
      <c r="H11" s="17" t="s">
        <v>99</v>
      </c>
      <c r="I11" s="17" t="s">
        <v>98</v>
      </c>
      <c r="J11" s="19" t="s">
        <v>120</v>
      </c>
      <c r="K11" s="23" t="str">
        <f>IF(A11="","",IF(G11&lt;&gt;"","Resolvida",IF(F11&lt;DataRef,"Vencida","No prazo")))</f>
        <v>Resolvida</v>
      </c>
    </row>
    <row r="12" spans="1:11" x14ac:dyDescent="0.25">
      <c r="A12" s="22" t="s">
        <v>61</v>
      </c>
      <c r="B12" s="21" t="s">
        <v>108</v>
      </c>
      <c r="C12" s="18">
        <v>46296</v>
      </c>
      <c r="D12" s="19" t="s">
        <v>121</v>
      </c>
      <c r="E12" s="21" t="s">
        <v>110</v>
      </c>
      <c r="F12" s="18">
        <v>46299</v>
      </c>
      <c r="G12" s="18"/>
      <c r="H12" s="17" t="s">
        <v>103</v>
      </c>
      <c r="I12" s="17" t="s">
        <v>99</v>
      </c>
      <c r="J12" s="19"/>
      <c r="K12" s="23" t="str">
        <f>IF(A12="","",IF(G12&lt;&gt;"","Resolvida",IF(F12&lt;DataRef,"Vencida","No prazo")))</f>
        <v>Vencida</v>
      </c>
    </row>
    <row r="13" spans="1:11" x14ac:dyDescent="0.25">
      <c r="A13" s="22" t="s">
        <v>61</v>
      </c>
      <c r="B13" s="21" t="s">
        <v>95</v>
      </c>
      <c r="C13" s="18">
        <v>46296</v>
      </c>
      <c r="D13" s="19" t="s">
        <v>122</v>
      </c>
      <c r="E13" s="21" t="s">
        <v>123</v>
      </c>
      <c r="F13" s="18">
        <v>46302</v>
      </c>
      <c r="G13" s="18">
        <v>46301</v>
      </c>
      <c r="H13" s="17" t="s">
        <v>103</v>
      </c>
      <c r="I13" s="17" t="s">
        <v>98</v>
      </c>
      <c r="J13" s="19" t="s">
        <v>124</v>
      </c>
      <c r="K13" s="23" t="str">
        <f>IF(A13="","",IF(G13&lt;&gt;"","Resolvida",IF(F13&lt;DataRef,"Vencida","No prazo")))</f>
        <v>Resolvida</v>
      </c>
    </row>
    <row r="14" spans="1:11" x14ac:dyDescent="0.25">
      <c r="A14" s="22" t="s">
        <v>61</v>
      </c>
      <c r="B14" s="21" t="s">
        <v>104</v>
      </c>
      <c r="C14" s="18">
        <v>46296</v>
      </c>
      <c r="D14" s="19" t="s">
        <v>105</v>
      </c>
      <c r="E14" s="21" t="s">
        <v>106</v>
      </c>
      <c r="F14" s="18">
        <v>46319</v>
      </c>
      <c r="G14" s="18"/>
      <c r="H14" s="17" t="s">
        <v>103</v>
      </c>
      <c r="I14" s="17" t="s">
        <v>98</v>
      </c>
      <c r="J14" s="19" t="s">
        <v>107</v>
      </c>
      <c r="K14" s="23" t="str">
        <f>IF(A14="","",IF(G14&lt;&gt;"","Resolvida",IF(F14&lt;DataRef,"Vencida","No prazo")))</f>
        <v>No prazo</v>
      </c>
    </row>
    <row r="15" spans="1:11" x14ac:dyDescent="0.25">
      <c r="A15" s="22" t="s">
        <v>61</v>
      </c>
      <c r="B15" s="21" t="s">
        <v>112</v>
      </c>
      <c r="C15" s="18">
        <v>46296</v>
      </c>
      <c r="D15" s="19" t="s">
        <v>125</v>
      </c>
      <c r="E15" s="21" t="s">
        <v>114</v>
      </c>
      <c r="F15" s="18">
        <v>46324</v>
      </c>
      <c r="G15" s="18"/>
      <c r="H15" s="17" t="s">
        <v>103</v>
      </c>
      <c r="I15" s="17" t="s">
        <v>99</v>
      </c>
      <c r="J15" s="19"/>
      <c r="K15" s="23" t="str">
        <f>IF(A15="","",IF(G15&lt;&gt;"","Resolvida",IF(F15&lt;DataRef,"Vencida","No prazo")))</f>
        <v>No prazo</v>
      </c>
    </row>
    <row r="16" spans="1:11" x14ac:dyDescent="0.25">
      <c r="A16" s="22" t="s">
        <v>58</v>
      </c>
      <c r="B16" s="21" t="s">
        <v>116</v>
      </c>
      <c r="C16" s="18">
        <v>46296</v>
      </c>
      <c r="D16" s="19" t="s">
        <v>126</v>
      </c>
      <c r="E16" s="21" t="s">
        <v>127</v>
      </c>
      <c r="F16" s="18">
        <v>46334</v>
      </c>
      <c r="G16" s="18"/>
      <c r="H16" s="17" t="s">
        <v>98</v>
      </c>
      <c r="I16" s="17" t="s">
        <v>103</v>
      </c>
      <c r="J16" s="19" t="s">
        <v>128</v>
      </c>
      <c r="K16" s="23" t="str">
        <f>IF(A16="","",IF(G16&lt;&gt;"","Resolvida",IF(F16&lt;DataRef,"Vencida","No prazo")))</f>
        <v>No prazo</v>
      </c>
    </row>
    <row r="17" spans="1:11" x14ac:dyDescent="0.25">
      <c r="A17" s="22" t="s">
        <v>64</v>
      </c>
      <c r="B17" s="21" t="s">
        <v>112</v>
      </c>
      <c r="C17" s="18">
        <v>46297</v>
      </c>
      <c r="D17" s="19" t="s">
        <v>129</v>
      </c>
      <c r="E17" s="21" t="s">
        <v>114</v>
      </c>
      <c r="F17" s="18">
        <v>46291</v>
      </c>
      <c r="G17" s="18">
        <v>46300</v>
      </c>
      <c r="H17" s="17" t="s">
        <v>103</v>
      </c>
      <c r="I17" s="17" t="s">
        <v>98</v>
      </c>
      <c r="J17" s="19" t="s">
        <v>124</v>
      </c>
      <c r="K17" s="23" t="str">
        <f>IF(A17="","",IF(G17&lt;&gt;"","Resolvida",IF(F17&lt;DataRef,"Vencida","No prazo")))</f>
        <v>Resolvida</v>
      </c>
    </row>
    <row r="18" spans="1:11" x14ac:dyDescent="0.25">
      <c r="A18" s="22" t="s">
        <v>64</v>
      </c>
      <c r="B18" s="21" t="s">
        <v>95</v>
      </c>
      <c r="C18" s="18">
        <v>46297</v>
      </c>
      <c r="D18" s="19" t="s">
        <v>122</v>
      </c>
      <c r="E18" s="21" t="s">
        <v>123</v>
      </c>
      <c r="F18" s="18">
        <v>46296</v>
      </c>
      <c r="G18" s="18"/>
      <c r="H18" s="17" t="s">
        <v>103</v>
      </c>
      <c r="I18" s="17" t="s">
        <v>99</v>
      </c>
      <c r="J18" s="19"/>
      <c r="K18" s="23" t="str">
        <f>IF(A18="","",IF(G18&lt;&gt;"","Resolvida",IF(F18&lt;DataRef,"Vencida","No prazo")))</f>
        <v>Vencida</v>
      </c>
    </row>
    <row r="19" spans="1:11" x14ac:dyDescent="0.25">
      <c r="A19" s="22" t="s">
        <v>64</v>
      </c>
      <c r="B19" s="21" t="s">
        <v>104</v>
      </c>
      <c r="C19" s="18">
        <v>46297</v>
      </c>
      <c r="D19" s="19" t="s">
        <v>130</v>
      </c>
      <c r="E19" s="21" t="s">
        <v>106</v>
      </c>
      <c r="F19" s="18">
        <v>46297</v>
      </c>
      <c r="G19" s="18">
        <v>46295</v>
      </c>
      <c r="H19" s="17" t="s">
        <v>98</v>
      </c>
      <c r="I19" s="17" t="s">
        <v>99</v>
      </c>
      <c r="J19" s="19" t="s">
        <v>120</v>
      </c>
      <c r="K19" s="23" t="str">
        <f>IF(A19="","",IF(G19&lt;&gt;"","Resolvida",IF(F19&lt;DataRef,"Vencida","No prazo")))</f>
        <v>Resolvida</v>
      </c>
    </row>
    <row r="20" spans="1:11" x14ac:dyDescent="0.25">
      <c r="A20" s="22" t="s">
        <v>64</v>
      </c>
      <c r="B20" s="21" t="s">
        <v>116</v>
      </c>
      <c r="C20" s="18">
        <v>46297</v>
      </c>
      <c r="D20" s="19" t="s">
        <v>131</v>
      </c>
      <c r="E20" s="21" t="s">
        <v>127</v>
      </c>
      <c r="F20" s="18">
        <v>46297</v>
      </c>
      <c r="G20" s="18">
        <v>46295</v>
      </c>
      <c r="H20" s="17" t="s">
        <v>103</v>
      </c>
      <c r="I20" s="17" t="s">
        <v>103</v>
      </c>
      <c r="J20" s="19" t="s">
        <v>132</v>
      </c>
      <c r="K20" s="23" t="str">
        <f>IF(A20="","",IF(G20&lt;&gt;"","Resolvida",IF(F20&lt;DataRef,"Vencida","No prazo")))</f>
        <v>Resolvida</v>
      </c>
    </row>
    <row r="21" spans="1:11" x14ac:dyDescent="0.25">
      <c r="A21" s="22" t="s">
        <v>64</v>
      </c>
      <c r="B21" s="21" t="s">
        <v>100</v>
      </c>
      <c r="C21" s="18">
        <v>46297</v>
      </c>
      <c r="D21" s="19" t="s">
        <v>101</v>
      </c>
      <c r="E21" s="21" t="s">
        <v>27</v>
      </c>
      <c r="F21" s="18">
        <v>46306</v>
      </c>
      <c r="G21" s="18"/>
      <c r="H21" s="17" t="s">
        <v>98</v>
      </c>
      <c r="I21" s="17" t="s">
        <v>98</v>
      </c>
      <c r="J21" s="19" t="s">
        <v>111</v>
      </c>
      <c r="K21" s="23" t="str">
        <f>IF(A21="","",IF(G21&lt;&gt;"","Resolvida",IF(F21&lt;DataRef,"Vencida","No prazo")))</f>
        <v>No prazo</v>
      </c>
    </row>
    <row r="22" spans="1:11" x14ac:dyDescent="0.25">
      <c r="A22" s="22" t="s">
        <v>66</v>
      </c>
      <c r="B22" s="21" t="s">
        <v>100</v>
      </c>
      <c r="C22" s="18">
        <v>46300</v>
      </c>
      <c r="D22" s="19" t="s">
        <v>133</v>
      </c>
      <c r="E22" s="21" t="s">
        <v>27</v>
      </c>
      <c r="F22" s="18">
        <v>46306</v>
      </c>
      <c r="G22" s="18"/>
      <c r="H22" s="17" t="s">
        <v>103</v>
      </c>
      <c r="I22" s="17" t="s">
        <v>103</v>
      </c>
      <c r="J22" s="19" t="s">
        <v>128</v>
      </c>
      <c r="K22" s="23" t="str">
        <f>IF(A22="","",IF(G22&lt;&gt;"","Resolvida",IF(F22&lt;DataRef,"Vencida","No prazo")))</f>
        <v>No prazo</v>
      </c>
    </row>
    <row r="23" spans="1:11" x14ac:dyDescent="0.25">
      <c r="A23" s="22" t="s">
        <v>66</v>
      </c>
      <c r="B23" s="21" t="s">
        <v>116</v>
      </c>
      <c r="C23" s="18">
        <v>46300</v>
      </c>
      <c r="D23" s="19" t="s">
        <v>134</v>
      </c>
      <c r="E23" s="21" t="s">
        <v>118</v>
      </c>
      <c r="F23" s="18">
        <v>46312</v>
      </c>
      <c r="G23" s="18"/>
      <c r="H23" s="17" t="s">
        <v>98</v>
      </c>
      <c r="I23" s="17" t="s">
        <v>98</v>
      </c>
      <c r="J23" s="19"/>
      <c r="K23" s="23" t="str">
        <f>IF(A23="","",IF(G23&lt;&gt;"","Resolvida",IF(F23&lt;DataRef,"Vencida","No prazo")))</f>
        <v>No prazo</v>
      </c>
    </row>
    <row r="24" spans="1:11" x14ac:dyDescent="0.25">
      <c r="A24" s="22" t="s">
        <v>66</v>
      </c>
      <c r="B24" s="21" t="s">
        <v>108</v>
      </c>
      <c r="C24" s="18">
        <v>46300</v>
      </c>
      <c r="D24" s="19" t="s">
        <v>135</v>
      </c>
      <c r="E24" s="21" t="s">
        <v>102</v>
      </c>
      <c r="F24" s="18">
        <v>46313</v>
      </c>
      <c r="G24" s="18"/>
      <c r="H24" s="17" t="s">
        <v>103</v>
      </c>
      <c r="I24" s="17" t="s">
        <v>103</v>
      </c>
      <c r="J24" s="19" t="s">
        <v>128</v>
      </c>
      <c r="K24" s="23" t="str">
        <f>IF(A24="","",IF(G24&lt;&gt;"","Resolvida",IF(F24&lt;DataRef,"Vencida","No prazo")))</f>
        <v>No prazo</v>
      </c>
    </row>
    <row r="25" spans="1:11" x14ac:dyDescent="0.25">
      <c r="A25" s="22" t="s">
        <v>71</v>
      </c>
      <c r="B25" s="21" t="s">
        <v>116</v>
      </c>
      <c r="C25" s="18">
        <v>46303</v>
      </c>
      <c r="D25" s="19" t="s">
        <v>136</v>
      </c>
      <c r="E25" s="21" t="s">
        <v>118</v>
      </c>
      <c r="F25" s="18">
        <v>46292</v>
      </c>
      <c r="G25" s="18">
        <v>46299</v>
      </c>
      <c r="H25" s="17" t="s">
        <v>99</v>
      </c>
      <c r="I25" s="17" t="s">
        <v>103</v>
      </c>
      <c r="J25" s="19" t="s">
        <v>124</v>
      </c>
      <c r="K25" s="23" t="str">
        <f>IF(A25="","",IF(G25&lt;&gt;"","Resolvida",IF(F25&lt;DataRef,"Vencida","No prazo")))</f>
        <v>Resolvida</v>
      </c>
    </row>
    <row r="26" spans="1:11" x14ac:dyDescent="0.25">
      <c r="A26" s="22" t="s">
        <v>68</v>
      </c>
      <c r="B26" s="21" t="s">
        <v>104</v>
      </c>
      <c r="C26" s="18">
        <v>46303</v>
      </c>
      <c r="D26" s="19" t="s">
        <v>130</v>
      </c>
      <c r="E26" s="21" t="s">
        <v>106</v>
      </c>
      <c r="F26" s="18">
        <v>46296</v>
      </c>
      <c r="G26" s="18">
        <v>46295</v>
      </c>
      <c r="H26" s="17" t="s">
        <v>103</v>
      </c>
      <c r="I26" s="17" t="s">
        <v>98</v>
      </c>
      <c r="J26" s="19" t="s">
        <v>132</v>
      </c>
      <c r="K26" s="23" t="str">
        <f>IF(A26="","",IF(G26&lt;&gt;"","Resolvida",IF(F26&lt;DataRef,"Vencida","No prazo")))</f>
        <v>Resolvida</v>
      </c>
    </row>
    <row r="27" spans="1:11" x14ac:dyDescent="0.25">
      <c r="A27" s="22" t="s">
        <v>68</v>
      </c>
      <c r="B27" s="21" t="s">
        <v>116</v>
      </c>
      <c r="C27" s="18">
        <v>46303</v>
      </c>
      <c r="D27" s="19" t="s">
        <v>137</v>
      </c>
      <c r="E27" s="21" t="s">
        <v>118</v>
      </c>
      <c r="F27" s="18">
        <v>46297</v>
      </c>
      <c r="G27" s="18"/>
      <c r="H27" s="17" t="s">
        <v>99</v>
      </c>
      <c r="I27" s="17" t="s">
        <v>99</v>
      </c>
      <c r="J27" s="19" t="s">
        <v>128</v>
      </c>
      <c r="K27" s="23" t="str">
        <f>IF(A27="","",IF(G27&lt;&gt;"","Resolvida",IF(F27&lt;DataRef,"Vencida","No prazo")))</f>
        <v>Vencida</v>
      </c>
    </row>
    <row r="28" spans="1:11" x14ac:dyDescent="0.25">
      <c r="A28" s="22" t="s">
        <v>71</v>
      </c>
      <c r="B28" s="21" t="s">
        <v>95</v>
      </c>
      <c r="C28" s="18">
        <v>46303</v>
      </c>
      <c r="D28" s="19" t="s">
        <v>138</v>
      </c>
      <c r="E28" s="21" t="s">
        <v>123</v>
      </c>
      <c r="F28" s="18">
        <v>46303</v>
      </c>
      <c r="G28" s="18">
        <v>46295</v>
      </c>
      <c r="H28" s="17" t="s">
        <v>98</v>
      </c>
      <c r="I28" s="17" t="s">
        <v>99</v>
      </c>
      <c r="J28" s="19" t="s">
        <v>132</v>
      </c>
      <c r="K28" s="23" t="str">
        <f>IF(A28="","",IF(G28&lt;&gt;"","Resolvida",IF(F28&lt;DataRef,"Vencida","No prazo")))</f>
        <v>Resolvida</v>
      </c>
    </row>
    <row r="29" spans="1:11" x14ac:dyDescent="0.25">
      <c r="A29" s="22" t="s">
        <v>71</v>
      </c>
      <c r="B29" s="21" t="s">
        <v>104</v>
      </c>
      <c r="C29" s="18">
        <v>46303</v>
      </c>
      <c r="D29" s="19" t="s">
        <v>130</v>
      </c>
      <c r="E29" s="21" t="s">
        <v>106</v>
      </c>
      <c r="F29" s="18">
        <v>46310</v>
      </c>
      <c r="G29" s="18"/>
      <c r="H29" s="17" t="s">
        <v>99</v>
      </c>
      <c r="I29" s="17" t="s">
        <v>99</v>
      </c>
      <c r="J29" s="19"/>
      <c r="K29" s="23" t="str">
        <f>IF(A29="","",IF(G29&lt;&gt;"","Resolvida",IF(F29&lt;DataRef,"Vencida","No prazo")))</f>
        <v>No prazo</v>
      </c>
    </row>
    <row r="30" spans="1:11" x14ac:dyDescent="0.25">
      <c r="A30" s="22" t="s">
        <v>71</v>
      </c>
      <c r="B30" s="21" t="s">
        <v>108</v>
      </c>
      <c r="C30" s="18">
        <v>46303</v>
      </c>
      <c r="D30" s="19" t="s">
        <v>139</v>
      </c>
      <c r="E30" s="21" t="s">
        <v>102</v>
      </c>
      <c r="F30" s="18">
        <v>46328</v>
      </c>
      <c r="G30" s="18"/>
      <c r="H30" s="17" t="s">
        <v>98</v>
      </c>
      <c r="I30" s="17" t="s">
        <v>103</v>
      </c>
      <c r="J30" s="19" t="s">
        <v>140</v>
      </c>
      <c r="K30" s="23" t="str">
        <f>IF(A30="","",IF(G30&lt;&gt;"","Resolvida",IF(F30&lt;DataRef,"Vencida","No prazo")))</f>
        <v>No prazo</v>
      </c>
    </row>
    <row r="31" spans="1:11" x14ac:dyDescent="0.25">
      <c r="A31" s="22" t="s">
        <v>68</v>
      </c>
      <c r="B31" s="21" t="s">
        <v>100</v>
      </c>
      <c r="C31" s="18">
        <v>46303</v>
      </c>
      <c r="D31" s="19" t="s">
        <v>133</v>
      </c>
      <c r="E31" s="21" t="s">
        <v>27</v>
      </c>
      <c r="F31" s="18">
        <v>46331</v>
      </c>
      <c r="G31" s="18"/>
      <c r="H31" s="17" t="s">
        <v>98</v>
      </c>
      <c r="I31" s="17" t="s">
        <v>98</v>
      </c>
      <c r="J31" s="19" t="s">
        <v>140</v>
      </c>
      <c r="K31" s="23" t="str">
        <f>IF(A31="","",IF(G31&lt;&gt;"","Resolvida",IF(F31&lt;DataRef,"Vencida","No prazo")))</f>
        <v>No prazo</v>
      </c>
    </row>
    <row r="32" spans="1:11" x14ac:dyDescent="0.25">
      <c r="A32" s="22" t="s">
        <v>71</v>
      </c>
      <c r="B32" s="21" t="s">
        <v>100</v>
      </c>
      <c r="C32" s="18">
        <v>46303</v>
      </c>
      <c r="D32" s="19" t="s">
        <v>133</v>
      </c>
      <c r="E32" s="21" t="s">
        <v>27</v>
      </c>
      <c r="F32" s="18">
        <v>46342</v>
      </c>
      <c r="G32" s="18"/>
      <c r="H32" s="17" t="s">
        <v>99</v>
      </c>
      <c r="I32" s="17" t="s">
        <v>103</v>
      </c>
      <c r="J32" s="19" t="s">
        <v>111</v>
      </c>
      <c r="K32" s="23" t="str">
        <f>IF(A32="","",IF(G32&lt;&gt;"","Resolvida",IF(F32&lt;DataRef,"Vencida","No prazo")))</f>
        <v>No prazo</v>
      </c>
    </row>
    <row r="33" spans="1:11" x14ac:dyDescent="0.25">
      <c r="A33" s="22" t="s">
        <v>72</v>
      </c>
      <c r="B33" s="21" t="s">
        <v>104</v>
      </c>
      <c r="C33" s="18">
        <v>46304</v>
      </c>
      <c r="D33" s="19" t="s">
        <v>130</v>
      </c>
      <c r="E33" s="21" t="s">
        <v>106</v>
      </c>
      <c r="F33" s="18">
        <v>46294</v>
      </c>
      <c r="G33" s="18">
        <v>46295</v>
      </c>
      <c r="H33" s="17" t="s">
        <v>99</v>
      </c>
      <c r="I33" s="17" t="s">
        <v>98</v>
      </c>
      <c r="J33" s="19" t="s">
        <v>124</v>
      </c>
      <c r="K33" s="23" t="str">
        <f>IF(A33="","",IF(G33&lt;&gt;"","Resolvida",IF(F33&lt;DataRef,"Vencida","No prazo")))</f>
        <v>Resolvida</v>
      </c>
    </row>
    <row r="34" spans="1:11" x14ac:dyDescent="0.25">
      <c r="A34" s="22" t="s">
        <v>72</v>
      </c>
      <c r="B34" s="21" t="s">
        <v>112</v>
      </c>
      <c r="C34" s="18">
        <v>46304</v>
      </c>
      <c r="D34" s="19" t="s">
        <v>141</v>
      </c>
      <c r="E34" s="21" t="s">
        <v>110</v>
      </c>
      <c r="F34" s="18">
        <v>46317</v>
      </c>
      <c r="G34" s="18"/>
      <c r="H34" s="17" t="s">
        <v>99</v>
      </c>
      <c r="I34" s="17" t="s">
        <v>103</v>
      </c>
      <c r="J34" s="19" t="s">
        <v>115</v>
      </c>
      <c r="K34" s="23" t="str">
        <f>IF(A34="","",IF(G34&lt;&gt;"","Resolvida",IF(F34&lt;DataRef,"Vencida","No prazo")))</f>
        <v>No prazo</v>
      </c>
    </row>
    <row r="35" spans="1:11" x14ac:dyDescent="0.25">
      <c r="A35" s="22" t="s">
        <v>72</v>
      </c>
      <c r="B35" s="21" t="s">
        <v>108</v>
      </c>
      <c r="C35" s="18">
        <v>46304</v>
      </c>
      <c r="D35" s="19" t="s">
        <v>142</v>
      </c>
      <c r="E35" s="21" t="s">
        <v>110</v>
      </c>
      <c r="F35" s="18">
        <v>46326</v>
      </c>
      <c r="G35" s="18"/>
      <c r="H35" s="17" t="s">
        <v>99</v>
      </c>
      <c r="I35" s="17" t="s">
        <v>99</v>
      </c>
      <c r="J35" s="19" t="s">
        <v>107</v>
      </c>
      <c r="K35" s="23" t="str">
        <f>IF(A35="","",IF(G35&lt;&gt;"","Resolvida",IF(F35&lt;DataRef,"Vencida","No prazo")))</f>
        <v>No prazo</v>
      </c>
    </row>
    <row r="36" spans="1:11" x14ac:dyDescent="0.25">
      <c r="A36" s="22" t="s">
        <v>74</v>
      </c>
      <c r="B36" s="21" t="s">
        <v>100</v>
      </c>
      <c r="C36" s="18">
        <v>46311</v>
      </c>
      <c r="D36" s="19" t="s">
        <v>133</v>
      </c>
      <c r="E36" s="21" t="s">
        <v>102</v>
      </c>
      <c r="F36" s="18">
        <v>46290</v>
      </c>
      <c r="G36" s="18">
        <v>46288</v>
      </c>
      <c r="H36" s="17" t="s">
        <v>103</v>
      </c>
      <c r="I36" s="17" t="s">
        <v>103</v>
      </c>
      <c r="J36" s="19" t="s">
        <v>132</v>
      </c>
      <c r="K36" s="23" t="str">
        <f>IF(A36="","",IF(G36&lt;&gt;"","Resolvida",IF(F36&lt;DataRef,"Vencida","No prazo")))</f>
        <v>Resolvida</v>
      </c>
    </row>
    <row r="37" spans="1:11" x14ac:dyDescent="0.25">
      <c r="A37" s="22" t="s">
        <v>74</v>
      </c>
      <c r="B37" s="21" t="s">
        <v>108</v>
      </c>
      <c r="C37" s="18">
        <v>46311</v>
      </c>
      <c r="D37" s="19" t="s">
        <v>143</v>
      </c>
      <c r="E37" s="21" t="s">
        <v>102</v>
      </c>
      <c r="F37" s="18">
        <v>46290</v>
      </c>
      <c r="G37" s="18">
        <v>46298</v>
      </c>
      <c r="H37" s="17" t="s">
        <v>98</v>
      </c>
      <c r="I37" s="17" t="s">
        <v>99</v>
      </c>
      <c r="J37" s="19" t="s">
        <v>120</v>
      </c>
      <c r="K37" s="23" t="str">
        <f>IF(A37="","",IF(G37&lt;&gt;"","Resolvida",IF(F37&lt;DataRef,"Vencida","No prazo")))</f>
        <v>Resolvida</v>
      </c>
    </row>
    <row r="38" spans="1:11" x14ac:dyDescent="0.25">
      <c r="A38" s="22" t="s">
        <v>74</v>
      </c>
      <c r="B38" s="21" t="s">
        <v>95</v>
      </c>
      <c r="C38" s="18">
        <v>46311</v>
      </c>
      <c r="D38" s="19" t="s">
        <v>122</v>
      </c>
      <c r="E38" s="21" t="s">
        <v>97</v>
      </c>
      <c r="F38" s="18">
        <v>46338</v>
      </c>
      <c r="G38" s="18"/>
      <c r="H38" s="17" t="s">
        <v>103</v>
      </c>
      <c r="I38" s="17" t="s">
        <v>98</v>
      </c>
      <c r="J38" s="19"/>
      <c r="K38" s="23" t="str">
        <f>IF(A38="","",IF(G38&lt;&gt;"","Resolvida",IF(F38&lt;DataRef,"Vencida","No prazo")))</f>
        <v>No prazo</v>
      </c>
    </row>
    <row r="39" spans="1:11" x14ac:dyDescent="0.25">
      <c r="A39" s="22" t="s">
        <v>76</v>
      </c>
      <c r="B39" s="21" t="s">
        <v>116</v>
      </c>
      <c r="C39" s="18">
        <v>46318</v>
      </c>
      <c r="D39" s="19" t="s">
        <v>144</v>
      </c>
      <c r="E39" s="21" t="s">
        <v>127</v>
      </c>
      <c r="F39" s="18">
        <v>46290</v>
      </c>
      <c r="G39" s="18">
        <v>46287</v>
      </c>
      <c r="H39" s="17" t="s">
        <v>99</v>
      </c>
      <c r="I39" s="17" t="s">
        <v>99</v>
      </c>
      <c r="J39" s="19"/>
      <c r="K39" s="23" t="str">
        <f>IF(A39="","",IF(G39&lt;&gt;"","Resolvida",IF(F39&lt;DataRef,"Vencida","No prazo")))</f>
        <v>Resolvida</v>
      </c>
    </row>
    <row r="40" spans="1:11" x14ac:dyDescent="0.25">
      <c r="A40" s="22" t="s">
        <v>76</v>
      </c>
      <c r="B40" s="21" t="s">
        <v>100</v>
      </c>
      <c r="C40" s="18">
        <v>46318</v>
      </c>
      <c r="D40" s="19" t="s">
        <v>101</v>
      </c>
      <c r="E40" s="21" t="s">
        <v>102</v>
      </c>
      <c r="F40" s="18">
        <v>46295</v>
      </c>
      <c r="G40" s="18"/>
      <c r="H40" s="17" t="s">
        <v>98</v>
      </c>
      <c r="I40" s="17" t="s">
        <v>98</v>
      </c>
      <c r="J40" s="19" t="s">
        <v>128</v>
      </c>
      <c r="K40" s="23" t="str">
        <f>IF(A40="","",IF(G40&lt;&gt;"","Resolvida",IF(F40&lt;DataRef,"Vencida","No prazo")))</f>
        <v>Vencida</v>
      </c>
    </row>
    <row r="41" spans="1:11" x14ac:dyDescent="0.25">
      <c r="A41" s="22" t="s">
        <v>76</v>
      </c>
      <c r="B41" s="21" t="s">
        <v>108</v>
      </c>
      <c r="C41" s="18">
        <v>46318</v>
      </c>
      <c r="D41" s="19" t="s">
        <v>145</v>
      </c>
      <c r="E41" s="21" t="s">
        <v>102</v>
      </c>
      <c r="F41" s="18">
        <v>46323</v>
      </c>
      <c r="G41" s="18"/>
      <c r="H41" s="17" t="s">
        <v>103</v>
      </c>
      <c r="I41" s="17" t="s">
        <v>98</v>
      </c>
      <c r="J41" s="19" t="s">
        <v>128</v>
      </c>
      <c r="K41" s="23" t="str">
        <f>IF(A41="","",IF(G41&lt;&gt;"","Resolvida",IF(F41&lt;DataRef,"Vencida","No prazo")))</f>
        <v>No prazo</v>
      </c>
    </row>
    <row r="42" spans="1:11" x14ac:dyDescent="0.25">
      <c r="A42" s="22" t="s">
        <v>76</v>
      </c>
      <c r="B42" s="21" t="s">
        <v>112</v>
      </c>
      <c r="C42" s="18">
        <v>46318</v>
      </c>
      <c r="D42" s="19" t="s">
        <v>146</v>
      </c>
      <c r="E42" s="21" t="s">
        <v>114</v>
      </c>
      <c r="F42" s="18">
        <v>46344</v>
      </c>
      <c r="G42" s="18"/>
      <c r="H42" s="17" t="s">
        <v>99</v>
      </c>
      <c r="I42" s="17" t="s">
        <v>98</v>
      </c>
      <c r="J42" s="19" t="s">
        <v>111</v>
      </c>
      <c r="K42" s="23" t="str">
        <f>IF(A42="","",IF(G42&lt;&gt;"","Resolvida",IF(F42&lt;DataRef,"Vencida","No prazo")))</f>
        <v>No prazo</v>
      </c>
    </row>
    <row r="43" spans="1:11" x14ac:dyDescent="0.25">
      <c r="A43" s="22" t="s">
        <v>79</v>
      </c>
      <c r="B43" s="21" t="s">
        <v>100</v>
      </c>
      <c r="C43" s="18">
        <v>46328</v>
      </c>
      <c r="D43" s="19" t="s">
        <v>101</v>
      </c>
      <c r="E43" s="21" t="s">
        <v>27</v>
      </c>
      <c r="F43" s="18">
        <v>46285</v>
      </c>
      <c r="G43" s="18">
        <v>46285</v>
      </c>
      <c r="H43" s="17" t="s">
        <v>103</v>
      </c>
      <c r="I43" s="17" t="s">
        <v>98</v>
      </c>
      <c r="J43" s="19" t="s">
        <v>120</v>
      </c>
      <c r="K43" s="23" t="str">
        <f>IF(A43="","",IF(G43&lt;&gt;"","Resolvida",IF(F43&lt;DataRef,"Vencida","No prazo")))</f>
        <v>Resolvida</v>
      </c>
    </row>
    <row r="44" spans="1:11" x14ac:dyDescent="0.25">
      <c r="A44" s="22" t="s">
        <v>79</v>
      </c>
      <c r="B44" s="21" t="s">
        <v>108</v>
      </c>
      <c r="C44" s="18">
        <v>46328</v>
      </c>
      <c r="D44" s="19" t="s">
        <v>147</v>
      </c>
      <c r="E44" s="21" t="s">
        <v>110</v>
      </c>
      <c r="F44" s="18">
        <v>46292</v>
      </c>
      <c r="G44" s="18">
        <v>46289</v>
      </c>
      <c r="H44" s="17" t="s">
        <v>99</v>
      </c>
      <c r="I44" s="17" t="s">
        <v>99</v>
      </c>
      <c r="J44" s="19" t="s">
        <v>124</v>
      </c>
      <c r="K44" s="23" t="str">
        <f>IF(A44="","",IF(G44&lt;&gt;"","Resolvida",IF(F44&lt;DataRef,"Vencida","No prazo")))</f>
        <v>Resolvida</v>
      </c>
    </row>
    <row r="45" spans="1:11" x14ac:dyDescent="0.25">
      <c r="A45" s="22" t="s">
        <v>79</v>
      </c>
      <c r="B45" s="21" t="s">
        <v>116</v>
      </c>
      <c r="C45" s="18">
        <v>46328</v>
      </c>
      <c r="D45" s="19" t="s">
        <v>148</v>
      </c>
      <c r="E45" s="21" t="s">
        <v>127</v>
      </c>
      <c r="F45" s="18">
        <v>46314</v>
      </c>
      <c r="G45" s="18"/>
      <c r="H45" s="17" t="s">
        <v>99</v>
      </c>
      <c r="I45" s="17" t="s">
        <v>99</v>
      </c>
      <c r="J45" s="19" t="s">
        <v>107</v>
      </c>
      <c r="K45" s="23" t="str">
        <f>IF(A45="","",IF(G45&lt;&gt;"","Resolvida",IF(F45&lt;DataRef,"Vencida","No prazo")))</f>
        <v>No prazo</v>
      </c>
    </row>
    <row r="46" spans="1:11" x14ac:dyDescent="0.25">
      <c r="A46" s="22" t="s">
        <v>79</v>
      </c>
      <c r="B46" s="21" t="s">
        <v>95</v>
      </c>
      <c r="C46" s="18">
        <v>46328</v>
      </c>
      <c r="D46" s="19" t="s">
        <v>149</v>
      </c>
      <c r="E46" s="21" t="s">
        <v>123</v>
      </c>
      <c r="F46" s="18">
        <v>46330</v>
      </c>
      <c r="G46" s="18"/>
      <c r="H46" s="17" t="s">
        <v>103</v>
      </c>
      <c r="I46" s="17" t="s">
        <v>98</v>
      </c>
      <c r="J46" s="19" t="s">
        <v>111</v>
      </c>
      <c r="K46" s="23" t="str">
        <f>IF(A46="","",IF(G46&lt;&gt;"","Resolvida",IF(F46&lt;DataRef,"Vencida","No prazo")))</f>
        <v>No prazo</v>
      </c>
    </row>
    <row r="47" spans="1:11" x14ac:dyDescent="0.25">
      <c r="A47" s="22" t="s">
        <v>79</v>
      </c>
      <c r="B47" s="21" t="s">
        <v>104</v>
      </c>
      <c r="C47" s="18">
        <v>46328</v>
      </c>
      <c r="D47" s="19" t="s">
        <v>105</v>
      </c>
      <c r="E47" s="21" t="s">
        <v>106</v>
      </c>
      <c r="F47" s="18">
        <v>46342</v>
      </c>
      <c r="G47" s="18"/>
      <c r="H47" s="17" t="s">
        <v>103</v>
      </c>
      <c r="I47" s="17" t="s">
        <v>98</v>
      </c>
      <c r="J47" s="19"/>
      <c r="K47" s="23" t="str">
        <f>IF(A47="","",IF(G47&lt;&gt;"","Resolvida",IF(F47&lt;DataRef,"Vencida","No prazo")))</f>
        <v>No prazo</v>
      </c>
    </row>
    <row r="48" spans="1:11" x14ac:dyDescent="0.25">
      <c r="A48" s="22" t="s">
        <v>81</v>
      </c>
      <c r="B48" s="21" t="s">
        <v>112</v>
      </c>
      <c r="C48" s="18">
        <v>46330</v>
      </c>
      <c r="D48" s="19" t="s">
        <v>150</v>
      </c>
      <c r="E48" s="21" t="s">
        <v>110</v>
      </c>
      <c r="F48" s="18">
        <v>46302</v>
      </c>
      <c r="G48" s="18">
        <v>46295</v>
      </c>
      <c r="H48" s="17" t="s">
        <v>103</v>
      </c>
      <c r="I48" s="17" t="s">
        <v>103</v>
      </c>
      <c r="J48" s="19" t="s">
        <v>120</v>
      </c>
      <c r="K48" s="23" t="str">
        <f>IF(A48="","",IF(G48&lt;&gt;"","Resolvida",IF(F48&lt;DataRef,"Vencida","No prazo")))</f>
        <v>Resolvida</v>
      </c>
    </row>
    <row r="49" spans="1:11" x14ac:dyDescent="0.25">
      <c r="A49" s="22" t="s">
        <v>81</v>
      </c>
      <c r="B49" s="21" t="s">
        <v>104</v>
      </c>
      <c r="C49" s="18">
        <v>46330</v>
      </c>
      <c r="D49" s="19" t="s">
        <v>105</v>
      </c>
      <c r="E49" s="21" t="s">
        <v>106</v>
      </c>
      <c r="F49" s="18">
        <v>46303</v>
      </c>
      <c r="G49" s="18">
        <v>46295</v>
      </c>
      <c r="H49" s="17" t="s">
        <v>103</v>
      </c>
      <c r="I49" s="17" t="s">
        <v>103</v>
      </c>
      <c r="J49" s="19" t="s">
        <v>120</v>
      </c>
      <c r="K49" s="23" t="str">
        <f>IF(A49="","",IF(G49&lt;&gt;"","Resolvida",IF(F49&lt;DataRef,"Vencida","No prazo")))</f>
        <v>Resolvida</v>
      </c>
    </row>
    <row r="50" spans="1:11" x14ac:dyDescent="0.25">
      <c r="A50" s="22" t="s">
        <v>81</v>
      </c>
      <c r="B50" s="21" t="s">
        <v>108</v>
      </c>
      <c r="C50" s="18">
        <v>46330</v>
      </c>
      <c r="D50" s="19" t="s">
        <v>151</v>
      </c>
      <c r="E50" s="21" t="s">
        <v>102</v>
      </c>
      <c r="F50" s="18">
        <v>46334</v>
      </c>
      <c r="G50" s="18"/>
      <c r="H50" s="17" t="s">
        <v>103</v>
      </c>
      <c r="I50" s="17" t="s">
        <v>98</v>
      </c>
      <c r="J50" s="19"/>
      <c r="K50" s="23" t="str">
        <f>IF(A50="","",IF(G50&lt;&gt;"","Resolvida",IF(F50&lt;DataRef,"Vencida","No prazo")))</f>
        <v>No prazo</v>
      </c>
    </row>
    <row r="51" spans="1:11" x14ac:dyDescent="0.25">
      <c r="A51" s="22" t="s">
        <v>81</v>
      </c>
      <c r="B51" s="21" t="s">
        <v>100</v>
      </c>
      <c r="C51" s="18">
        <v>46330</v>
      </c>
      <c r="D51" s="19" t="s">
        <v>101</v>
      </c>
      <c r="E51" s="21" t="s">
        <v>27</v>
      </c>
      <c r="F51" s="18">
        <v>46342</v>
      </c>
      <c r="G51" s="18"/>
      <c r="H51" s="17" t="s">
        <v>103</v>
      </c>
      <c r="I51" s="17" t="s">
        <v>98</v>
      </c>
      <c r="J51" s="19"/>
      <c r="K51" s="23" t="str">
        <f>IF(A51="","",IF(G51&lt;&gt;"","Resolvida",IF(F51&lt;DataRef,"Vencida","No prazo")))</f>
        <v>No prazo</v>
      </c>
    </row>
    <row r="52" spans="1:11" x14ac:dyDescent="0.25">
      <c r="A52" s="19"/>
      <c r="B52" s="21"/>
      <c r="C52" s="18"/>
      <c r="D52" s="19"/>
      <c r="E52" s="21"/>
      <c r="F52" s="18"/>
      <c r="G52" s="18"/>
      <c r="H52" s="17"/>
      <c r="I52" s="17"/>
      <c r="J52" s="19"/>
      <c r="K52" s="23" t="str">
        <f>IF(A52="","",IF(G52&lt;&gt;"","Resolvida",IF(F52&lt;DataRef,"Vencida","No prazo")))</f>
        <v/>
      </c>
    </row>
    <row r="53" spans="1:11" x14ac:dyDescent="0.25">
      <c r="A53" s="19"/>
      <c r="B53" s="21"/>
      <c r="C53" s="18"/>
      <c r="D53" s="19"/>
      <c r="E53" s="21"/>
      <c r="F53" s="18"/>
      <c r="G53" s="18"/>
      <c r="H53" s="17"/>
      <c r="I53" s="17"/>
      <c r="J53" s="19"/>
      <c r="K53" s="23" t="str">
        <f>IF(A53="","",IF(G53&lt;&gt;"","Resolvida",IF(F53&lt;DataRef,"Vencida","No prazo")))</f>
        <v/>
      </c>
    </row>
    <row r="54" spans="1:11" x14ac:dyDescent="0.25">
      <c r="A54" s="19"/>
      <c r="B54" s="21"/>
      <c r="C54" s="18"/>
      <c r="D54" s="19"/>
      <c r="E54" s="21"/>
      <c r="F54" s="18"/>
      <c r="G54" s="18"/>
      <c r="H54" s="17"/>
      <c r="I54" s="17"/>
      <c r="J54" s="19"/>
      <c r="K54" s="23" t="str">
        <f>IF(A54="","",IF(G54&lt;&gt;"","Resolvida",IF(F54&lt;DataRef,"Vencida","No prazo")))</f>
        <v/>
      </c>
    </row>
    <row r="55" spans="1:11" x14ac:dyDescent="0.25">
      <c r="A55" s="19"/>
      <c r="B55" s="21"/>
      <c r="C55" s="18"/>
      <c r="D55" s="19"/>
      <c r="E55" s="21"/>
      <c r="F55" s="18"/>
      <c r="G55" s="18"/>
      <c r="H55" s="17"/>
      <c r="I55" s="17"/>
      <c r="J55" s="19"/>
      <c r="K55" s="23" t="str">
        <f>IF(A55="","",IF(G55&lt;&gt;"","Resolvida",IF(F55&lt;DataRef,"Vencida","No prazo")))</f>
        <v/>
      </c>
    </row>
    <row r="56" spans="1:11" x14ac:dyDescent="0.25">
      <c r="A56" s="19"/>
      <c r="B56" s="21"/>
      <c r="C56" s="18"/>
      <c r="D56" s="19"/>
      <c r="E56" s="21"/>
      <c r="F56" s="18"/>
      <c r="G56" s="18"/>
      <c r="H56" s="17"/>
      <c r="I56" s="17"/>
      <c r="J56" s="19"/>
      <c r="K56" s="23" t="str">
        <f>IF(A56="","",IF(G56&lt;&gt;"","Resolvida",IF(F56&lt;DataRef,"Vencida","No prazo")))</f>
        <v/>
      </c>
    </row>
    <row r="57" spans="1:11" x14ac:dyDescent="0.25">
      <c r="A57" s="19"/>
      <c r="B57" s="21"/>
      <c r="C57" s="18"/>
      <c r="D57" s="19"/>
      <c r="E57" s="21"/>
      <c r="F57" s="18"/>
      <c r="G57" s="18"/>
      <c r="H57" s="17"/>
      <c r="I57" s="17"/>
      <c r="J57" s="19"/>
      <c r="K57" s="23" t="str">
        <f>IF(A57="","",IF(G57&lt;&gt;"","Resolvida",IF(F57&lt;DataRef,"Vencida","No prazo")))</f>
        <v/>
      </c>
    </row>
    <row r="58" spans="1:11" x14ac:dyDescent="0.25">
      <c r="A58" s="19"/>
      <c r="B58" s="21"/>
      <c r="C58" s="18"/>
      <c r="D58" s="19"/>
      <c r="E58" s="21"/>
      <c r="F58" s="18"/>
      <c r="G58" s="18"/>
      <c r="H58" s="17"/>
      <c r="I58" s="17"/>
      <c r="J58" s="19"/>
      <c r="K58" s="23" t="str">
        <f>IF(A58="","",IF(G58&lt;&gt;"","Resolvida",IF(F58&lt;DataRef,"Vencida","No prazo")))</f>
        <v/>
      </c>
    </row>
    <row r="59" spans="1:11" x14ac:dyDescent="0.25">
      <c r="A59" s="19"/>
      <c r="B59" s="21"/>
      <c r="C59" s="18"/>
      <c r="D59" s="19"/>
      <c r="E59" s="21"/>
      <c r="F59" s="18"/>
      <c r="G59" s="18"/>
      <c r="H59" s="17"/>
      <c r="I59" s="17"/>
      <c r="J59" s="19"/>
      <c r="K59" s="23" t="str">
        <f>IF(A59="","",IF(G59&lt;&gt;"","Resolvida",IF(F59&lt;DataRef,"Vencida","No prazo")))</f>
        <v/>
      </c>
    </row>
    <row r="60" spans="1:11" x14ac:dyDescent="0.25">
      <c r="A60" s="19"/>
      <c r="B60" s="21"/>
      <c r="C60" s="18"/>
      <c r="D60" s="19"/>
      <c r="E60" s="21"/>
      <c r="F60" s="18"/>
      <c r="G60" s="18"/>
      <c r="H60" s="17"/>
      <c r="I60" s="17"/>
      <c r="J60" s="19"/>
      <c r="K60" s="23" t="str">
        <f>IF(A60="","",IF(G60&lt;&gt;"","Resolvida",IF(F60&lt;DataRef,"Vencida","No prazo")))</f>
        <v/>
      </c>
    </row>
    <row r="61" spans="1:11" x14ac:dyDescent="0.25">
      <c r="A61" s="19"/>
      <c r="B61" s="21"/>
      <c r="C61" s="18"/>
      <c r="D61" s="19"/>
      <c r="E61" s="21"/>
      <c r="F61" s="18"/>
      <c r="G61" s="18"/>
      <c r="H61" s="17"/>
      <c r="I61" s="17"/>
      <c r="J61" s="19"/>
      <c r="K61" s="23" t="str">
        <f>IF(A61="","",IF(G61&lt;&gt;"","Resolvida",IF(F61&lt;DataRef,"Vencida","No prazo")))</f>
        <v/>
      </c>
    </row>
    <row r="62" spans="1:11" x14ac:dyDescent="0.25">
      <c r="A62" s="19"/>
      <c r="B62" s="21"/>
      <c r="C62" s="18"/>
      <c r="D62" s="19"/>
      <c r="E62" s="21"/>
      <c r="F62" s="18"/>
      <c r="G62" s="18"/>
      <c r="H62" s="17"/>
      <c r="I62" s="17"/>
      <c r="J62" s="19"/>
      <c r="K62" s="23" t="str">
        <f>IF(A62="","",IF(G62&lt;&gt;"","Resolvida",IF(F62&lt;DataRef,"Vencida","No prazo")))</f>
        <v/>
      </c>
    </row>
    <row r="63" spans="1:11" x14ac:dyDescent="0.25">
      <c r="A63" s="19"/>
      <c r="B63" s="21"/>
      <c r="C63" s="18"/>
      <c r="D63" s="19"/>
      <c r="E63" s="21"/>
      <c r="F63" s="18"/>
      <c r="G63" s="18"/>
      <c r="H63" s="17"/>
      <c r="I63" s="17"/>
      <c r="J63" s="19"/>
      <c r="K63" s="23" t="str">
        <f>IF(A63="","",IF(G63&lt;&gt;"","Resolvida",IF(F63&lt;DataRef,"Vencida","No prazo")))</f>
        <v/>
      </c>
    </row>
    <row r="64" spans="1:11" x14ac:dyDescent="0.25">
      <c r="A64" s="19"/>
      <c r="B64" s="21"/>
      <c r="C64" s="18"/>
      <c r="D64" s="19"/>
      <c r="E64" s="21"/>
      <c r="F64" s="18"/>
      <c r="G64" s="18"/>
      <c r="H64" s="17"/>
      <c r="I64" s="17"/>
      <c r="J64" s="19"/>
      <c r="K64" s="23" t="str">
        <f>IF(A64="","",IF(G64&lt;&gt;"","Resolvida",IF(F64&lt;DataRef,"Vencida","No prazo")))</f>
        <v/>
      </c>
    </row>
    <row r="65" spans="1:11" x14ac:dyDescent="0.25">
      <c r="A65" s="19"/>
      <c r="B65" s="21"/>
      <c r="C65" s="18"/>
      <c r="D65" s="19"/>
      <c r="E65" s="21"/>
      <c r="F65" s="18"/>
      <c r="G65" s="18"/>
      <c r="H65" s="17"/>
      <c r="I65" s="17"/>
      <c r="J65" s="19"/>
      <c r="K65" s="23" t="str">
        <f>IF(A65="","",IF(G65&lt;&gt;"","Resolvida",IF(F65&lt;DataRef,"Vencida","No prazo")))</f>
        <v/>
      </c>
    </row>
    <row r="66" spans="1:11" x14ac:dyDescent="0.25">
      <c r="A66" s="19"/>
      <c r="B66" s="21"/>
      <c r="C66" s="18"/>
      <c r="D66" s="19"/>
      <c r="E66" s="21"/>
      <c r="F66" s="18"/>
      <c r="G66" s="18"/>
      <c r="H66" s="17"/>
      <c r="I66" s="17"/>
      <c r="J66" s="19"/>
      <c r="K66" s="23" t="str">
        <f>IF(A66="","",IF(G66&lt;&gt;"","Resolvida",IF(F66&lt;DataRef,"Vencida","No prazo")))</f>
        <v/>
      </c>
    </row>
    <row r="67" spans="1:11" x14ac:dyDescent="0.25">
      <c r="A67" s="19"/>
      <c r="B67" s="21"/>
      <c r="C67" s="18"/>
      <c r="D67" s="19"/>
      <c r="E67" s="21"/>
      <c r="F67" s="18"/>
      <c r="G67" s="18"/>
      <c r="H67" s="17"/>
      <c r="I67" s="17"/>
      <c r="J67" s="19"/>
      <c r="K67" s="23" t="str">
        <f>IF(A67="","",IF(G67&lt;&gt;"","Resolvida",IF(F67&lt;DataRef,"Vencida","No prazo")))</f>
        <v/>
      </c>
    </row>
    <row r="68" spans="1:11" x14ac:dyDescent="0.25">
      <c r="A68" s="19"/>
      <c r="B68" s="21"/>
      <c r="C68" s="18"/>
      <c r="D68" s="19"/>
      <c r="E68" s="21"/>
      <c r="F68" s="18"/>
      <c r="G68" s="18"/>
      <c r="H68" s="17"/>
      <c r="I68" s="17"/>
      <c r="J68" s="19"/>
      <c r="K68" s="23" t="str">
        <f>IF(A68="","",IF(G68&lt;&gt;"","Resolvida",IF(F68&lt;DataRef,"Vencida","No prazo")))</f>
        <v/>
      </c>
    </row>
    <row r="69" spans="1:11" x14ac:dyDescent="0.25">
      <c r="A69" s="19"/>
      <c r="B69" s="21"/>
      <c r="C69" s="18"/>
      <c r="D69" s="19"/>
      <c r="E69" s="21"/>
      <c r="F69" s="18"/>
      <c r="G69" s="18"/>
      <c r="H69" s="17"/>
      <c r="I69" s="17"/>
      <c r="J69" s="19"/>
      <c r="K69" s="23" t="str">
        <f>IF(A69="","",IF(G69&lt;&gt;"","Resolvida",IF(F69&lt;DataRef,"Vencida","No prazo")))</f>
        <v/>
      </c>
    </row>
    <row r="70" spans="1:11" x14ac:dyDescent="0.25">
      <c r="A70" s="19"/>
      <c r="B70" s="21"/>
      <c r="C70" s="18"/>
      <c r="D70" s="19"/>
      <c r="E70" s="21"/>
      <c r="F70" s="18"/>
      <c r="G70" s="18"/>
      <c r="H70" s="17"/>
      <c r="I70" s="17"/>
      <c r="J70" s="19"/>
      <c r="K70" s="23" t="str">
        <f>IF(A70="","",IF(G70&lt;&gt;"","Resolvida",IF(F70&lt;DataRef,"Vencida","No prazo")))</f>
        <v/>
      </c>
    </row>
    <row r="71" spans="1:11" x14ac:dyDescent="0.25">
      <c r="A71" s="19"/>
      <c r="B71" s="21"/>
      <c r="C71" s="18"/>
      <c r="D71" s="19"/>
      <c r="E71" s="21"/>
      <c r="F71" s="18"/>
      <c r="G71" s="18"/>
      <c r="H71" s="17"/>
      <c r="I71" s="17"/>
      <c r="J71" s="19"/>
      <c r="K71" s="23" t="str">
        <f>IF(A71="","",IF(G71&lt;&gt;"","Resolvida",IF(F71&lt;DataRef,"Vencida","No prazo")))</f>
        <v/>
      </c>
    </row>
    <row r="72" spans="1:11" x14ac:dyDescent="0.25">
      <c r="A72" s="19"/>
      <c r="B72" s="21"/>
      <c r="C72" s="18"/>
      <c r="D72" s="19"/>
      <c r="E72" s="21"/>
      <c r="F72" s="18"/>
      <c r="G72" s="18"/>
      <c r="H72" s="17"/>
      <c r="I72" s="17"/>
      <c r="J72" s="19"/>
      <c r="K72" s="23" t="str">
        <f>IF(A72="","",IF(G72&lt;&gt;"","Resolvida",IF(F72&lt;DataRef,"Vencida","No prazo")))</f>
        <v/>
      </c>
    </row>
    <row r="73" spans="1:11" x14ac:dyDescent="0.25">
      <c r="A73" s="19"/>
      <c r="B73" s="21"/>
      <c r="C73" s="18"/>
      <c r="D73" s="19"/>
      <c r="E73" s="21"/>
      <c r="F73" s="18"/>
      <c r="G73" s="18"/>
      <c r="H73" s="17"/>
      <c r="I73" s="17"/>
      <c r="J73" s="19"/>
      <c r="K73" s="23" t="str">
        <f>IF(A73="","",IF(G73&lt;&gt;"","Resolvida",IF(F73&lt;DataRef,"Vencida","No prazo")))</f>
        <v/>
      </c>
    </row>
    <row r="74" spans="1:11" x14ac:dyDescent="0.25">
      <c r="A74" s="19"/>
      <c r="B74" s="21"/>
      <c r="C74" s="18"/>
      <c r="D74" s="19"/>
      <c r="E74" s="21"/>
      <c r="F74" s="18"/>
      <c r="G74" s="18"/>
      <c r="H74" s="17"/>
      <c r="I74" s="17"/>
      <c r="J74" s="19"/>
      <c r="K74" s="23" t="str">
        <f>IF(A74="","",IF(G74&lt;&gt;"","Resolvida",IF(F74&lt;DataRef,"Vencida","No prazo")))</f>
        <v/>
      </c>
    </row>
    <row r="75" spans="1:11" x14ac:dyDescent="0.25">
      <c r="A75" s="19"/>
      <c r="B75" s="21"/>
      <c r="C75" s="18"/>
      <c r="D75" s="19"/>
      <c r="E75" s="21"/>
      <c r="F75" s="18"/>
      <c r="G75" s="18"/>
      <c r="H75" s="17"/>
      <c r="I75" s="17"/>
      <c r="J75" s="19"/>
      <c r="K75" s="23" t="str">
        <f>IF(A75="","",IF(G75&lt;&gt;"","Resolvida",IF(F75&lt;DataRef,"Vencida","No prazo")))</f>
        <v/>
      </c>
    </row>
    <row r="76" spans="1:11" x14ac:dyDescent="0.25">
      <c r="A76" s="19"/>
      <c r="B76" s="21"/>
      <c r="C76" s="18"/>
      <c r="D76" s="19"/>
      <c r="E76" s="21"/>
      <c r="F76" s="18"/>
      <c r="G76" s="18"/>
      <c r="H76" s="17"/>
      <c r="I76" s="17"/>
      <c r="J76" s="19"/>
      <c r="K76" s="23" t="str">
        <f>IF(A76="","",IF(G76&lt;&gt;"","Resolvida",IF(F76&lt;DataRef,"Vencida","No prazo")))</f>
        <v/>
      </c>
    </row>
    <row r="77" spans="1:11" x14ac:dyDescent="0.25">
      <c r="A77" s="19"/>
      <c r="B77" s="21"/>
      <c r="C77" s="18"/>
      <c r="D77" s="19"/>
      <c r="E77" s="21"/>
      <c r="F77" s="18"/>
      <c r="G77" s="18"/>
      <c r="H77" s="17"/>
      <c r="I77" s="17"/>
      <c r="J77" s="19"/>
      <c r="K77" s="23" t="str">
        <f>IF(A77="","",IF(G77&lt;&gt;"","Resolvida",IF(F77&lt;DataRef,"Vencida","No prazo")))</f>
        <v/>
      </c>
    </row>
    <row r="78" spans="1:11" x14ac:dyDescent="0.25">
      <c r="A78" s="19"/>
      <c r="B78" s="21"/>
      <c r="C78" s="18"/>
      <c r="D78" s="19"/>
      <c r="E78" s="21"/>
      <c r="F78" s="18"/>
      <c r="G78" s="18"/>
      <c r="H78" s="17"/>
      <c r="I78" s="17"/>
      <c r="J78" s="19"/>
      <c r="K78" s="23" t="str">
        <f>IF(A78="","",IF(G78&lt;&gt;"","Resolvida",IF(F78&lt;DataRef,"Vencida","No prazo")))</f>
        <v/>
      </c>
    </row>
    <row r="79" spans="1:11" x14ac:dyDescent="0.25">
      <c r="A79" s="19"/>
      <c r="B79" s="21"/>
      <c r="C79" s="18"/>
      <c r="D79" s="19"/>
      <c r="E79" s="21"/>
      <c r="F79" s="18"/>
      <c r="G79" s="18"/>
      <c r="H79" s="17"/>
      <c r="I79" s="17"/>
      <c r="J79" s="19"/>
      <c r="K79" s="23" t="str">
        <f>IF(A79="","",IF(G79&lt;&gt;"","Resolvida",IF(F79&lt;DataRef,"Vencida","No prazo")))</f>
        <v/>
      </c>
    </row>
    <row r="80" spans="1:11" x14ac:dyDescent="0.25">
      <c r="A80" s="19"/>
      <c r="B80" s="21"/>
      <c r="C80" s="18"/>
      <c r="D80" s="19"/>
      <c r="E80" s="21"/>
      <c r="F80" s="18"/>
      <c r="G80" s="18"/>
      <c r="H80" s="17"/>
      <c r="I80" s="17"/>
      <c r="J80" s="19"/>
      <c r="K80" s="23" t="str">
        <f>IF(A80="","",IF(G80&lt;&gt;"","Resolvida",IF(F80&lt;DataRef,"Vencida","No prazo")))</f>
        <v/>
      </c>
    </row>
    <row r="81" spans="1:11" x14ac:dyDescent="0.25">
      <c r="A81" s="19"/>
      <c r="B81" s="21"/>
      <c r="C81" s="18"/>
      <c r="D81" s="19"/>
      <c r="E81" s="21"/>
      <c r="F81" s="18"/>
      <c r="G81" s="18"/>
      <c r="H81" s="17"/>
      <c r="I81" s="17"/>
      <c r="J81" s="19"/>
      <c r="K81" s="23" t="str">
        <f>IF(A81="","",IF(G81&lt;&gt;"","Resolvida",IF(F81&lt;DataRef,"Vencida","No prazo")))</f>
        <v/>
      </c>
    </row>
    <row r="82" spans="1:11" x14ac:dyDescent="0.25">
      <c r="A82" s="19"/>
      <c r="B82" s="21"/>
      <c r="C82" s="18"/>
      <c r="D82" s="19"/>
      <c r="E82" s="21"/>
      <c r="F82" s="18"/>
      <c r="G82" s="18"/>
      <c r="H82" s="17"/>
      <c r="I82" s="17"/>
      <c r="J82" s="19"/>
      <c r="K82" s="23" t="str">
        <f>IF(A82="","",IF(G82&lt;&gt;"","Resolvida",IF(F82&lt;DataRef,"Vencida","No prazo")))</f>
        <v/>
      </c>
    </row>
    <row r="83" spans="1:11" x14ac:dyDescent="0.25">
      <c r="A83" s="19"/>
      <c r="B83" s="21"/>
      <c r="C83" s="18"/>
      <c r="D83" s="19"/>
      <c r="E83" s="21"/>
      <c r="F83" s="18"/>
      <c r="G83" s="18"/>
      <c r="H83" s="17"/>
      <c r="I83" s="17"/>
      <c r="J83" s="19"/>
      <c r="K83" s="23" t="str">
        <f>IF(A83="","",IF(G83&lt;&gt;"","Resolvida",IF(F83&lt;DataRef,"Vencida","No prazo")))</f>
        <v/>
      </c>
    </row>
    <row r="84" spans="1:11" x14ac:dyDescent="0.25">
      <c r="A84" s="19"/>
      <c r="B84" s="21"/>
      <c r="C84" s="18"/>
      <c r="D84" s="19"/>
      <c r="E84" s="21"/>
      <c r="F84" s="18"/>
      <c r="G84" s="18"/>
      <c r="H84" s="17"/>
      <c r="I84" s="17"/>
      <c r="J84" s="19"/>
      <c r="K84" s="23" t="str">
        <f>IF(A84="","",IF(G84&lt;&gt;"","Resolvida",IF(F84&lt;DataRef,"Vencida","No prazo")))</f>
        <v/>
      </c>
    </row>
    <row r="85" spans="1:11" x14ac:dyDescent="0.25">
      <c r="A85" s="19"/>
      <c r="B85" s="21"/>
      <c r="C85" s="18"/>
      <c r="D85" s="19"/>
      <c r="E85" s="21"/>
      <c r="F85" s="18"/>
      <c r="G85" s="18"/>
      <c r="H85" s="17"/>
      <c r="I85" s="17"/>
      <c r="J85" s="19"/>
      <c r="K85" s="23" t="str">
        <f>IF(A85="","",IF(G85&lt;&gt;"","Resolvida",IF(F85&lt;DataRef,"Vencida","No prazo")))</f>
        <v/>
      </c>
    </row>
    <row r="86" spans="1:11" x14ac:dyDescent="0.25">
      <c r="A86" s="19"/>
      <c r="B86" s="21"/>
      <c r="C86" s="18"/>
      <c r="D86" s="19"/>
      <c r="E86" s="21"/>
      <c r="F86" s="18"/>
      <c r="G86" s="18"/>
      <c r="H86" s="17"/>
      <c r="I86" s="17"/>
      <c r="J86" s="19"/>
      <c r="K86" s="23" t="str">
        <f>IF(A86="","",IF(G86&lt;&gt;"","Resolvida",IF(F86&lt;DataRef,"Vencida","No prazo")))</f>
        <v/>
      </c>
    </row>
    <row r="87" spans="1:11" x14ac:dyDescent="0.25">
      <c r="A87" s="19"/>
      <c r="B87" s="21"/>
      <c r="C87" s="18"/>
      <c r="D87" s="19"/>
      <c r="E87" s="21"/>
      <c r="F87" s="18"/>
      <c r="G87" s="18"/>
      <c r="H87" s="17"/>
      <c r="I87" s="17"/>
      <c r="J87" s="19"/>
      <c r="K87" s="23" t="str">
        <f>IF(A87="","",IF(G87&lt;&gt;"","Resolvida",IF(F87&lt;DataRef,"Vencida","No prazo")))</f>
        <v/>
      </c>
    </row>
    <row r="88" spans="1:11" x14ac:dyDescent="0.25">
      <c r="A88" s="19"/>
      <c r="B88" s="21"/>
      <c r="C88" s="18"/>
      <c r="D88" s="19"/>
      <c r="E88" s="21"/>
      <c r="F88" s="18"/>
      <c r="G88" s="18"/>
      <c r="H88" s="17"/>
      <c r="I88" s="17"/>
      <c r="J88" s="19"/>
      <c r="K88" s="23" t="str">
        <f>IF(A88="","",IF(G88&lt;&gt;"","Resolvida",IF(F88&lt;DataRef,"Vencida","No prazo")))</f>
        <v/>
      </c>
    </row>
    <row r="89" spans="1:11" x14ac:dyDescent="0.25">
      <c r="A89" s="19"/>
      <c r="B89" s="21"/>
      <c r="C89" s="18"/>
      <c r="D89" s="19"/>
      <c r="E89" s="21"/>
      <c r="F89" s="18"/>
      <c r="G89" s="18"/>
      <c r="H89" s="17"/>
      <c r="I89" s="17"/>
      <c r="J89" s="19"/>
      <c r="K89" s="23" t="str">
        <f>IF(A89="","",IF(G89&lt;&gt;"","Resolvida",IF(F89&lt;DataRef,"Vencida","No prazo")))</f>
        <v/>
      </c>
    </row>
    <row r="90" spans="1:11" x14ac:dyDescent="0.25">
      <c r="A90" s="19"/>
      <c r="B90" s="21"/>
      <c r="C90" s="18"/>
      <c r="D90" s="19"/>
      <c r="E90" s="21"/>
      <c r="F90" s="18"/>
      <c r="G90" s="18"/>
      <c r="H90" s="17"/>
      <c r="I90" s="17"/>
      <c r="J90" s="19"/>
      <c r="K90" s="23" t="str">
        <f>IF(A90="","",IF(G90&lt;&gt;"","Resolvida",IF(F90&lt;DataRef,"Vencida","No prazo")))</f>
        <v/>
      </c>
    </row>
    <row r="91" spans="1:11" x14ac:dyDescent="0.25">
      <c r="A91" s="19"/>
      <c r="B91" s="21"/>
      <c r="C91" s="18"/>
      <c r="D91" s="19"/>
      <c r="E91" s="21"/>
      <c r="F91" s="18"/>
      <c r="G91" s="18"/>
      <c r="H91" s="17"/>
      <c r="I91" s="17"/>
      <c r="J91" s="19"/>
      <c r="K91" s="23" t="str">
        <f>IF(A91="","",IF(G91&lt;&gt;"","Resolvida",IF(F91&lt;DataRef,"Vencida","No prazo")))</f>
        <v/>
      </c>
    </row>
    <row r="92" spans="1:11" x14ac:dyDescent="0.25">
      <c r="A92" s="19"/>
      <c r="B92" s="21"/>
      <c r="C92" s="18"/>
      <c r="D92" s="19"/>
      <c r="E92" s="21"/>
      <c r="F92" s="18"/>
      <c r="G92" s="18"/>
      <c r="H92" s="17"/>
      <c r="I92" s="17"/>
      <c r="J92" s="19"/>
      <c r="K92" s="23" t="str">
        <f>IF(A92="","",IF(G92&lt;&gt;"","Resolvida",IF(F92&lt;DataRef,"Vencida","No prazo")))</f>
        <v/>
      </c>
    </row>
    <row r="93" spans="1:11" x14ac:dyDescent="0.25">
      <c r="A93" s="19"/>
      <c r="B93" s="21"/>
      <c r="C93" s="18"/>
      <c r="D93" s="19"/>
      <c r="E93" s="21"/>
      <c r="F93" s="18"/>
      <c r="G93" s="18"/>
      <c r="H93" s="17"/>
      <c r="I93" s="17"/>
      <c r="J93" s="19"/>
      <c r="K93" s="23" t="str">
        <f>IF(A93="","",IF(G93&lt;&gt;"","Resolvida",IF(F93&lt;DataRef,"Vencida","No prazo")))</f>
        <v/>
      </c>
    </row>
    <row r="94" spans="1:11" x14ac:dyDescent="0.25">
      <c r="A94" s="19"/>
      <c r="B94" s="21"/>
      <c r="C94" s="18"/>
      <c r="D94" s="19"/>
      <c r="E94" s="21"/>
      <c r="F94" s="18"/>
      <c r="G94" s="18"/>
      <c r="H94" s="17"/>
      <c r="I94" s="17"/>
      <c r="J94" s="19"/>
      <c r="K94" s="23" t="str">
        <f>IF(A94="","",IF(G94&lt;&gt;"","Resolvida",IF(F94&lt;DataRef,"Vencida","No prazo")))</f>
        <v/>
      </c>
    </row>
    <row r="95" spans="1:11" x14ac:dyDescent="0.25">
      <c r="A95" s="19"/>
      <c r="B95" s="21"/>
      <c r="C95" s="18"/>
      <c r="D95" s="19"/>
      <c r="E95" s="21"/>
      <c r="F95" s="18"/>
      <c r="G95" s="18"/>
      <c r="H95" s="17"/>
      <c r="I95" s="17"/>
      <c r="J95" s="19"/>
      <c r="K95" s="23" t="str">
        <f>IF(A95="","",IF(G95&lt;&gt;"","Resolvida",IF(F95&lt;DataRef,"Vencida","No prazo")))</f>
        <v/>
      </c>
    </row>
    <row r="96" spans="1:11" x14ac:dyDescent="0.25">
      <c r="A96" s="19"/>
      <c r="B96" s="21"/>
      <c r="C96" s="18"/>
      <c r="D96" s="19"/>
      <c r="E96" s="21"/>
      <c r="F96" s="18"/>
      <c r="G96" s="18"/>
      <c r="H96" s="17"/>
      <c r="I96" s="17"/>
      <c r="J96" s="19"/>
      <c r="K96" s="23" t="str">
        <f>IF(A96="","",IF(G96&lt;&gt;"","Resolvida",IF(F96&lt;DataRef,"Vencida","No prazo")))</f>
        <v/>
      </c>
    </row>
    <row r="97" spans="1:11" x14ac:dyDescent="0.25">
      <c r="A97" s="19"/>
      <c r="B97" s="21"/>
      <c r="C97" s="18"/>
      <c r="D97" s="19"/>
      <c r="E97" s="21"/>
      <c r="F97" s="18"/>
      <c r="G97" s="18"/>
      <c r="H97" s="17"/>
      <c r="I97" s="17"/>
      <c r="J97" s="19"/>
      <c r="K97" s="23" t="str">
        <f>IF(A97="","",IF(G97&lt;&gt;"","Resolvida",IF(F97&lt;DataRef,"Vencida","No prazo")))</f>
        <v/>
      </c>
    </row>
    <row r="98" spans="1:11" x14ac:dyDescent="0.25">
      <c r="A98" s="19"/>
      <c r="B98" s="21"/>
      <c r="C98" s="18"/>
      <c r="D98" s="19"/>
      <c r="E98" s="21"/>
      <c r="F98" s="18"/>
      <c r="G98" s="18"/>
      <c r="H98" s="17"/>
      <c r="I98" s="17"/>
      <c r="J98" s="19"/>
      <c r="K98" s="23" t="str">
        <f>IF(A98="","",IF(G98&lt;&gt;"","Resolvida",IF(F98&lt;DataRef,"Vencida","No prazo")))</f>
        <v/>
      </c>
    </row>
    <row r="99" spans="1:11" x14ac:dyDescent="0.25">
      <c r="A99" s="19"/>
      <c r="B99" s="21"/>
      <c r="C99" s="18"/>
      <c r="D99" s="19"/>
      <c r="E99" s="21"/>
      <c r="F99" s="18"/>
      <c r="G99" s="18"/>
      <c r="H99" s="17"/>
      <c r="I99" s="17"/>
      <c r="J99" s="19"/>
      <c r="K99" s="23" t="str">
        <f>IF(A99="","",IF(G99&lt;&gt;"","Resolvida",IF(F99&lt;DataRef,"Vencida","No prazo")))</f>
        <v/>
      </c>
    </row>
    <row r="100" spans="1:11" x14ac:dyDescent="0.25">
      <c r="A100" s="19"/>
      <c r="B100" s="21"/>
      <c r="C100" s="18"/>
      <c r="D100" s="19"/>
      <c r="E100" s="21"/>
      <c r="F100" s="18"/>
      <c r="G100" s="18"/>
      <c r="H100" s="17"/>
      <c r="I100" s="17"/>
      <c r="J100" s="19"/>
      <c r="K100" s="23" t="str">
        <f>IF(A100="","",IF(G100&lt;&gt;"","Resolvida",IF(F100&lt;DataRef,"Vencida","No prazo")))</f>
        <v/>
      </c>
    </row>
    <row r="101" spans="1:11" x14ac:dyDescent="0.25">
      <c r="A101" s="19"/>
      <c r="B101" s="21"/>
      <c r="C101" s="18"/>
      <c r="D101" s="19"/>
      <c r="E101" s="21"/>
      <c r="F101" s="18"/>
      <c r="G101" s="18"/>
      <c r="H101" s="17"/>
      <c r="I101" s="17"/>
      <c r="J101" s="19"/>
      <c r="K101" s="23" t="str">
        <f>IF(A101="","",IF(G101&lt;&gt;"","Resolvida",IF(F101&lt;DataRef,"Vencida","No prazo")))</f>
        <v/>
      </c>
    </row>
    <row r="102" spans="1:11" x14ac:dyDescent="0.25">
      <c r="A102" s="19"/>
      <c r="B102" s="21"/>
      <c r="C102" s="18"/>
      <c r="D102" s="19"/>
      <c r="E102" s="21"/>
      <c r="F102" s="18"/>
      <c r="G102" s="18"/>
      <c r="H102" s="17"/>
      <c r="I102" s="17"/>
      <c r="J102" s="19"/>
      <c r="K102" s="23" t="str">
        <f>IF(A102="","",IF(G102&lt;&gt;"","Resolvida",IF(F102&lt;DataRef,"Vencida","No prazo")))</f>
        <v/>
      </c>
    </row>
    <row r="103" spans="1:11" x14ac:dyDescent="0.25">
      <c r="A103" s="19"/>
      <c r="B103" s="21"/>
      <c r="C103" s="18"/>
      <c r="D103" s="19"/>
      <c r="E103" s="21"/>
      <c r="F103" s="18"/>
      <c r="G103" s="18"/>
      <c r="H103" s="17"/>
      <c r="I103" s="17"/>
      <c r="J103" s="19"/>
      <c r="K103" s="23" t="str">
        <f>IF(A103="","",IF(G103&lt;&gt;"","Resolvida",IF(F103&lt;DataRef,"Vencida","No prazo")))</f>
        <v/>
      </c>
    </row>
    <row r="104" spans="1:11" x14ac:dyDescent="0.25">
      <c r="A104" s="19"/>
      <c r="B104" s="21"/>
      <c r="C104" s="18"/>
      <c r="D104" s="19"/>
      <c r="E104" s="21"/>
      <c r="F104" s="18"/>
      <c r="G104" s="18"/>
      <c r="H104" s="17"/>
      <c r="I104" s="17"/>
      <c r="J104" s="19"/>
      <c r="K104" s="23" t="str">
        <f>IF(A104="","",IF(G104&lt;&gt;"","Resolvida",IF(F104&lt;DataRef,"Vencida","No prazo")))</f>
        <v/>
      </c>
    </row>
    <row r="105" spans="1:11" x14ac:dyDescent="0.25">
      <c r="A105" s="19"/>
      <c r="B105" s="21"/>
      <c r="C105" s="18"/>
      <c r="D105" s="19"/>
      <c r="E105" s="21"/>
      <c r="F105" s="18"/>
      <c r="G105" s="18"/>
      <c r="H105" s="17"/>
      <c r="I105" s="17"/>
      <c r="J105" s="19"/>
      <c r="K105" s="23" t="str">
        <f>IF(A105="","",IF(G105&lt;&gt;"","Resolvida",IF(F105&lt;DataRef,"Vencida","No prazo")))</f>
        <v/>
      </c>
    </row>
    <row r="106" spans="1:11" x14ac:dyDescent="0.25">
      <c r="A106" s="19"/>
      <c r="B106" s="21"/>
      <c r="C106" s="18"/>
      <c r="D106" s="19"/>
      <c r="E106" s="21"/>
      <c r="F106" s="18"/>
      <c r="G106" s="18"/>
      <c r="H106" s="17"/>
      <c r="I106" s="17"/>
      <c r="J106" s="19"/>
      <c r="K106" s="23" t="str">
        <f>IF(A106="","",IF(G106&lt;&gt;"","Resolvida",IF(F106&lt;DataRef,"Vencida","No prazo")))</f>
        <v/>
      </c>
    </row>
    <row r="107" spans="1:11" x14ac:dyDescent="0.25">
      <c r="A107" s="19"/>
      <c r="B107" s="21"/>
      <c r="C107" s="18"/>
      <c r="D107" s="19"/>
      <c r="E107" s="21"/>
      <c r="F107" s="18"/>
      <c r="G107" s="18"/>
      <c r="H107" s="17"/>
      <c r="I107" s="17"/>
      <c r="J107" s="19"/>
      <c r="K107" s="23" t="str">
        <f>IF(A107="","",IF(G107&lt;&gt;"","Resolvida",IF(F107&lt;DataRef,"Vencida","No prazo")))</f>
        <v/>
      </c>
    </row>
    <row r="108" spans="1:11" x14ac:dyDescent="0.25">
      <c r="A108" s="19"/>
      <c r="B108" s="21"/>
      <c r="C108" s="18"/>
      <c r="D108" s="19"/>
      <c r="E108" s="21"/>
      <c r="F108" s="18"/>
      <c r="G108" s="18"/>
      <c r="H108" s="17"/>
      <c r="I108" s="17"/>
      <c r="J108" s="19"/>
      <c r="K108" s="23" t="str">
        <f>IF(A108="","",IF(G108&lt;&gt;"","Resolvida",IF(F108&lt;DataRef,"Vencida","No prazo")))</f>
        <v/>
      </c>
    </row>
    <row r="109" spans="1:11" x14ac:dyDescent="0.25">
      <c r="A109" s="19"/>
      <c r="B109" s="21"/>
      <c r="C109" s="18"/>
      <c r="D109" s="19"/>
      <c r="E109" s="21"/>
      <c r="F109" s="18"/>
      <c r="G109" s="18"/>
      <c r="H109" s="17"/>
      <c r="I109" s="17"/>
      <c r="J109" s="19"/>
      <c r="K109" s="23" t="str">
        <f>IF(A109="","",IF(G109&lt;&gt;"","Resolvida",IF(F109&lt;DataRef,"Vencida","No prazo")))</f>
        <v/>
      </c>
    </row>
    <row r="110" spans="1:11" x14ac:dyDescent="0.25">
      <c r="A110" s="19"/>
      <c r="B110" s="21"/>
      <c r="C110" s="18"/>
      <c r="D110" s="19"/>
      <c r="E110" s="21"/>
      <c r="F110" s="18"/>
      <c r="G110" s="18"/>
      <c r="H110" s="17"/>
      <c r="I110" s="17"/>
      <c r="J110" s="19"/>
      <c r="K110" s="23" t="str">
        <f>IF(A110="","",IF(G110&lt;&gt;"","Resolvida",IF(F110&lt;DataRef,"Vencida","No prazo")))</f>
        <v/>
      </c>
    </row>
    <row r="111" spans="1:11" x14ac:dyDescent="0.25">
      <c r="A111" s="19"/>
      <c r="B111" s="21"/>
      <c r="C111" s="18"/>
      <c r="D111" s="19"/>
      <c r="E111" s="21"/>
      <c r="F111" s="18"/>
      <c r="G111" s="18"/>
      <c r="H111" s="17"/>
      <c r="I111" s="17"/>
      <c r="J111" s="19"/>
      <c r="K111" s="23" t="str">
        <f>IF(A111="","",IF(G111&lt;&gt;"","Resolvida",IF(F111&lt;DataRef,"Vencida","No prazo")))</f>
        <v/>
      </c>
    </row>
    <row r="112" spans="1:11" x14ac:dyDescent="0.25">
      <c r="A112" s="19"/>
      <c r="B112" s="21"/>
      <c r="C112" s="18"/>
      <c r="D112" s="19"/>
      <c r="E112" s="21"/>
      <c r="F112" s="18"/>
      <c r="G112" s="18"/>
      <c r="H112" s="17"/>
      <c r="I112" s="17"/>
      <c r="J112" s="19"/>
      <c r="K112" s="23" t="str">
        <f>IF(A112="","",IF(G112&lt;&gt;"","Resolvida",IF(F112&lt;DataRef,"Vencida","No prazo")))</f>
        <v/>
      </c>
    </row>
    <row r="113" spans="1:11" x14ac:dyDescent="0.25">
      <c r="A113" s="19"/>
      <c r="B113" s="21"/>
      <c r="C113" s="18"/>
      <c r="D113" s="19"/>
      <c r="E113" s="21"/>
      <c r="F113" s="18"/>
      <c r="G113" s="18"/>
      <c r="H113" s="17"/>
      <c r="I113" s="17"/>
      <c r="J113" s="19"/>
      <c r="K113" s="23" t="str">
        <f>IF(A113="","",IF(G113&lt;&gt;"","Resolvida",IF(F113&lt;DataRef,"Vencida","No prazo")))</f>
        <v/>
      </c>
    </row>
    <row r="114" spans="1:11" x14ac:dyDescent="0.25">
      <c r="A114" s="19"/>
      <c r="B114" s="21"/>
      <c r="C114" s="18"/>
      <c r="D114" s="19"/>
      <c r="E114" s="21"/>
      <c r="F114" s="18"/>
      <c r="G114" s="18"/>
      <c r="H114" s="17"/>
      <c r="I114" s="17"/>
      <c r="J114" s="19"/>
      <c r="K114" s="23" t="str">
        <f>IF(A114="","",IF(G114&lt;&gt;"","Resolvida",IF(F114&lt;DataRef,"Vencida","No prazo")))</f>
        <v/>
      </c>
    </row>
    <row r="115" spans="1:11" x14ac:dyDescent="0.25">
      <c r="A115" s="19"/>
      <c r="B115" s="21"/>
      <c r="C115" s="18"/>
      <c r="D115" s="19"/>
      <c r="E115" s="21"/>
      <c r="F115" s="18"/>
      <c r="G115" s="18"/>
      <c r="H115" s="17"/>
      <c r="I115" s="17"/>
      <c r="J115" s="19"/>
      <c r="K115" s="23" t="str">
        <f>IF(A115="","",IF(G115&lt;&gt;"","Resolvida",IF(F115&lt;DataRef,"Vencida","No prazo")))</f>
        <v/>
      </c>
    </row>
    <row r="116" spans="1:11" x14ac:dyDescent="0.25">
      <c r="A116" s="19"/>
      <c r="B116" s="21"/>
      <c r="C116" s="18"/>
      <c r="D116" s="19"/>
      <c r="E116" s="21"/>
      <c r="F116" s="18"/>
      <c r="G116" s="18"/>
      <c r="H116" s="17"/>
      <c r="I116" s="17"/>
      <c r="J116" s="19"/>
      <c r="K116" s="23" t="str">
        <f>IF(A116="","",IF(G116&lt;&gt;"","Resolvida",IF(F116&lt;DataRef,"Vencida","No prazo")))</f>
        <v/>
      </c>
    </row>
    <row r="117" spans="1:11" x14ac:dyDescent="0.25">
      <c r="A117" s="19"/>
      <c r="B117" s="21"/>
      <c r="C117" s="18"/>
      <c r="D117" s="19"/>
      <c r="E117" s="21"/>
      <c r="F117" s="18"/>
      <c r="G117" s="18"/>
      <c r="H117" s="17"/>
      <c r="I117" s="17"/>
      <c r="J117" s="19"/>
      <c r="K117" s="23" t="str">
        <f>IF(A117="","",IF(G117&lt;&gt;"","Resolvida",IF(F117&lt;DataRef,"Vencida","No prazo")))</f>
        <v/>
      </c>
    </row>
    <row r="118" spans="1:11" x14ac:dyDescent="0.25">
      <c r="A118" s="19"/>
      <c r="B118" s="21"/>
      <c r="C118" s="18"/>
      <c r="D118" s="19"/>
      <c r="E118" s="21"/>
      <c r="F118" s="18"/>
      <c r="G118" s="18"/>
      <c r="H118" s="17"/>
      <c r="I118" s="17"/>
      <c r="J118" s="19"/>
      <c r="K118" s="23" t="str">
        <f>IF(A118="","",IF(G118&lt;&gt;"","Resolvida",IF(F118&lt;DataRef,"Vencida","No prazo")))</f>
        <v/>
      </c>
    </row>
    <row r="119" spans="1:11" x14ac:dyDescent="0.25">
      <c r="A119" s="19"/>
      <c r="B119" s="21"/>
      <c r="C119" s="18"/>
      <c r="D119" s="19"/>
      <c r="E119" s="21"/>
      <c r="F119" s="18"/>
      <c r="G119" s="18"/>
      <c r="H119" s="17"/>
      <c r="I119" s="17"/>
      <c r="J119" s="19"/>
      <c r="K119" s="23" t="str">
        <f>IF(A119="","",IF(G119&lt;&gt;"","Resolvida",IF(F119&lt;DataRef,"Vencida","No prazo")))</f>
        <v/>
      </c>
    </row>
    <row r="120" spans="1:11" x14ac:dyDescent="0.25">
      <c r="A120" s="19"/>
      <c r="B120" s="21"/>
      <c r="C120" s="18"/>
      <c r="D120" s="19"/>
      <c r="E120" s="21"/>
      <c r="F120" s="18"/>
      <c r="G120" s="18"/>
      <c r="H120" s="17"/>
      <c r="I120" s="17"/>
      <c r="J120" s="19"/>
      <c r="K120" s="23" t="str">
        <f>IF(A120="","",IF(G120&lt;&gt;"","Resolvida",IF(F120&lt;DataRef,"Vencida","No prazo")))</f>
        <v/>
      </c>
    </row>
    <row r="121" spans="1:11" x14ac:dyDescent="0.25">
      <c r="A121" s="19"/>
      <c r="B121" s="21"/>
      <c r="C121" s="18"/>
      <c r="D121" s="19"/>
      <c r="E121" s="21"/>
      <c r="F121" s="18"/>
      <c r="G121" s="18"/>
      <c r="H121" s="17"/>
      <c r="I121" s="17"/>
      <c r="J121" s="19"/>
      <c r="K121" s="23" t="str">
        <f>IF(A121="","",IF(G121&lt;&gt;"","Resolvida",IF(F121&lt;DataRef,"Vencida","No prazo")))</f>
        <v/>
      </c>
    </row>
    <row r="122" spans="1:11" x14ac:dyDescent="0.25">
      <c r="A122" s="19"/>
      <c r="B122" s="21"/>
      <c r="C122" s="18"/>
      <c r="D122" s="19"/>
      <c r="E122" s="21"/>
      <c r="F122" s="18"/>
      <c r="G122" s="18"/>
      <c r="H122" s="17"/>
      <c r="I122" s="17"/>
      <c r="J122" s="19"/>
      <c r="K122" s="23" t="str">
        <f>IF(A122="","",IF(G122&lt;&gt;"","Resolvida",IF(F122&lt;DataRef,"Vencida","No prazo")))</f>
        <v/>
      </c>
    </row>
    <row r="123" spans="1:11" x14ac:dyDescent="0.25">
      <c r="A123" s="19"/>
      <c r="B123" s="21"/>
      <c r="C123" s="18"/>
      <c r="D123" s="19"/>
      <c r="E123" s="21"/>
      <c r="F123" s="18"/>
      <c r="G123" s="18"/>
      <c r="H123" s="17"/>
      <c r="I123" s="17"/>
      <c r="J123" s="19"/>
      <c r="K123" s="23" t="str">
        <f>IF(A123="","",IF(G123&lt;&gt;"","Resolvida",IF(F123&lt;DataRef,"Vencida","No prazo")))</f>
        <v/>
      </c>
    </row>
    <row r="124" spans="1:11" x14ac:dyDescent="0.25">
      <c r="A124" s="19"/>
      <c r="B124" s="21"/>
      <c r="C124" s="18"/>
      <c r="D124" s="19"/>
      <c r="E124" s="21"/>
      <c r="F124" s="18"/>
      <c r="G124" s="18"/>
      <c r="H124" s="17"/>
      <c r="I124" s="17"/>
      <c r="J124" s="19"/>
      <c r="K124" s="23" t="str">
        <f>IF(A124="","",IF(G124&lt;&gt;"","Resolvida",IF(F124&lt;DataRef,"Vencida","No prazo")))</f>
        <v/>
      </c>
    </row>
    <row r="125" spans="1:11" x14ac:dyDescent="0.25">
      <c r="A125" s="19"/>
      <c r="B125" s="21"/>
      <c r="C125" s="18"/>
      <c r="D125" s="19"/>
      <c r="E125" s="21"/>
      <c r="F125" s="18"/>
      <c r="G125" s="18"/>
      <c r="H125" s="17"/>
      <c r="I125" s="17"/>
      <c r="J125" s="19"/>
      <c r="K125" s="23" t="str">
        <f>IF(A125="","",IF(G125&lt;&gt;"","Resolvida",IF(F125&lt;DataRef,"Vencida","No prazo")))</f>
        <v/>
      </c>
    </row>
    <row r="126" spans="1:11" x14ac:dyDescent="0.25">
      <c r="A126" s="19"/>
      <c r="B126" s="21"/>
      <c r="C126" s="18"/>
      <c r="D126" s="19"/>
      <c r="E126" s="21"/>
      <c r="F126" s="18"/>
      <c r="G126" s="18"/>
      <c r="H126" s="17"/>
      <c r="I126" s="17"/>
      <c r="J126" s="19"/>
      <c r="K126" s="23" t="str">
        <f>IF(A126="","",IF(G126&lt;&gt;"","Resolvida",IF(F126&lt;DataRef,"Vencida","No prazo")))</f>
        <v/>
      </c>
    </row>
    <row r="127" spans="1:11" x14ac:dyDescent="0.25">
      <c r="A127" s="19"/>
      <c r="B127" s="21"/>
      <c r="C127" s="18"/>
      <c r="D127" s="19"/>
      <c r="E127" s="21"/>
      <c r="F127" s="18"/>
      <c r="G127" s="18"/>
      <c r="H127" s="17"/>
      <c r="I127" s="17"/>
      <c r="J127" s="19"/>
      <c r="K127" s="23" t="str">
        <f>IF(A127="","",IF(G127&lt;&gt;"","Resolvida",IF(F127&lt;DataRef,"Vencida","No prazo")))</f>
        <v/>
      </c>
    </row>
    <row r="128" spans="1:11" x14ac:dyDescent="0.25">
      <c r="A128" s="19"/>
      <c r="B128" s="21"/>
      <c r="C128" s="18"/>
      <c r="D128" s="19"/>
      <c r="E128" s="21"/>
      <c r="F128" s="18"/>
      <c r="G128" s="18"/>
      <c r="H128" s="17"/>
      <c r="I128" s="17"/>
      <c r="J128" s="19"/>
      <c r="K128" s="23" t="str">
        <f>IF(A128="","",IF(G128&lt;&gt;"","Resolvida",IF(F128&lt;DataRef,"Vencida","No prazo")))</f>
        <v/>
      </c>
    </row>
    <row r="129" spans="1:11" x14ac:dyDescent="0.25">
      <c r="A129" s="19"/>
      <c r="B129" s="21"/>
      <c r="C129" s="18"/>
      <c r="D129" s="19"/>
      <c r="E129" s="21"/>
      <c r="F129" s="18"/>
      <c r="G129" s="18"/>
      <c r="H129" s="17"/>
      <c r="I129" s="17"/>
      <c r="J129" s="19"/>
      <c r="K129" s="23" t="str">
        <f>IF(A129="","",IF(G129&lt;&gt;"","Resolvida",IF(F129&lt;DataRef,"Vencida","No prazo")))</f>
        <v/>
      </c>
    </row>
    <row r="130" spans="1:11" x14ac:dyDescent="0.25">
      <c r="A130" s="19"/>
      <c r="B130" s="21"/>
      <c r="C130" s="18"/>
      <c r="D130" s="19"/>
      <c r="E130" s="21"/>
      <c r="F130" s="18"/>
      <c r="G130" s="18"/>
      <c r="H130" s="17"/>
      <c r="I130" s="17"/>
      <c r="J130" s="19"/>
      <c r="K130" s="23" t="str">
        <f>IF(A130="","",IF(G130&lt;&gt;"","Resolvida",IF(F130&lt;DataRef,"Vencida","No prazo")))</f>
        <v/>
      </c>
    </row>
    <row r="131" spans="1:11" x14ac:dyDescent="0.25">
      <c r="A131" s="19"/>
      <c r="B131" s="21"/>
      <c r="C131" s="18"/>
      <c r="D131" s="19"/>
      <c r="E131" s="21"/>
      <c r="F131" s="18"/>
      <c r="G131" s="18"/>
      <c r="H131" s="17"/>
      <c r="I131" s="17"/>
      <c r="J131" s="19"/>
      <c r="K131" s="23" t="str">
        <f>IF(A131="","",IF(G131&lt;&gt;"","Resolvida",IF(F131&lt;DataRef,"Vencida","No prazo")))</f>
        <v/>
      </c>
    </row>
    <row r="132" spans="1:11" x14ac:dyDescent="0.25">
      <c r="A132" s="19"/>
      <c r="B132" s="21"/>
      <c r="C132" s="18"/>
      <c r="D132" s="19"/>
      <c r="E132" s="21"/>
      <c r="F132" s="18"/>
      <c r="G132" s="18"/>
      <c r="H132" s="17"/>
      <c r="I132" s="17"/>
      <c r="J132" s="19"/>
      <c r="K132" s="23" t="str">
        <f>IF(A132="","",IF(G132&lt;&gt;"","Resolvida",IF(F132&lt;DataRef,"Vencida","No prazo")))</f>
        <v/>
      </c>
    </row>
    <row r="133" spans="1:11" x14ac:dyDescent="0.25">
      <c r="A133" s="19"/>
      <c r="B133" s="21"/>
      <c r="C133" s="18"/>
      <c r="D133" s="19"/>
      <c r="E133" s="21"/>
      <c r="F133" s="18"/>
      <c r="G133" s="18"/>
      <c r="H133" s="17"/>
      <c r="I133" s="17"/>
      <c r="J133" s="19"/>
      <c r="K133" s="23" t="str">
        <f>IF(A133="","",IF(G133&lt;&gt;"","Resolvida",IF(F133&lt;DataRef,"Vencida","No prazo")))</f>
        <v/>
      </c>
    </row>
    <row r="134" spans="1:11" x14ac:dyDescent="0.25">
      <c r="A134" s="19"/>
      <c r="B134" s="21"/>
      <c r="C134" s="18"/>
      <c r="D134" s="19"/>
      <c r="E134" s="21"/>
      <c r="F134" s="18"/>
      <c r="G134" s="18"/>
      <c r="H134" s="17"/>
      <c r="I134" s="17"/>
      <c r="J134" s="19"/>
      <c r="K134" s="23" t="str">
        <f>IF(A134="","",IF(G134&lt;&gt;"","Resolvida",IF(F134&lt;DataRef,"Vencida","No prazo")))</f>
        <v/>
      </c>
    </row>
    <row r="135" spans="1:11" x14ac:dyDescent="0.25">
      <c r="A135" s="19"/>
      <c r="B135" s="21"/>
      <c r="C135" s="18"/>
      <c r="D135" s="19"/>
      <c r="E135" s="21"/>
      <c r="F135" s="18"/>
      <c r="G135" s="18"/>
      <c r="H135" s="17"/>
      <c r="I135" s="17"/>
      <c r="J135" s="19"/>
      <c r="K135" s="23" t="str">
        <f>IF(A135="","",IF(G135&lt;&gt;"","Resolvida",IF(F135&lt;DataRef,"Vencida","No prazo")))</f>
        <v/>
      </c>
    </row>
    <row r="136" spans="1:11" x14ac:dyDescent="0.25">
      <c r="A136" s="19"/>
      <c r="B136" s="21"/>
      <c r="C136" s="18"/>
      <c r="D136" s="19"/>
      <c r="E136" s="21"/>
      <c r="F136" s="18"/>
      <c r="G136" s="18"/>
      <c r="H136" s="17"/>
      <c r="I136" s="17"/>
      <c r="J136" s="19"/>
      <c r="K136" s="23" t="str">
        <f>IF(A136="","",IF(G136&lt;&gt;"","Resolvida",IF(F136&lt;DataRef,"Vencida","No prazo")))</f>
        <v/>
      </c>
    </row>
    <row r="137" spans="1:11" x14ac:dyDescent="0.25">
      <c r="A137" s="19"/>
      <c r="B137" s="21"/>
      <c r="C137" s="18"/>
      <c r="D137" s="19"/>
      <c r="E137" s="21"/>
      <c r="F137" s="18"/>
      <c r="G137" s="18"/>
      <c r="H137" s="17"/>
      <c r="I137" s="17"/>
      <c r="J137" s="19"/>
      <c r="K137" s="23" t="str">
        <f>IF(A137="","",IF(G137&lt;&gt;"","Resolvida",IF(F137&lt;DataRef,"Vencida","No prazo")))</f>
        <v/>
      </c>
    </row>
    <row r="138" spans="1:11" x14ac:dyDescent="0.25">
      <c r="A138" s="19"/>
      <c r="B138" s="21"/>
      <c r="C138" s="18"/>
      <c r="D138" s="19"/>
      <c r="E138" s="21"/>
      <c r="F138" s="18"/>
      <c r="G138" s="18"/>
      <c r="H138" s="17"/>
      <c r="I138" s="17"/>
      <c r="J138" s="19"/>
      <c r="K138" s="23" t="str">
        <f>IF(A138="","",IF(G138&lt;&gt;"","Resolvida",IF(F138&lt;DataRef,"Vencida","No prazo")))</f>
        <v/>
      </c>
    </row>
    <row r="139" spans="1:11" x14ac:dyDescent="0.25">
      <c r="A139" s="19"/>
      <c r="B139" s="21"/>
      <c r="C139" s="18"/>
      <c r="D139" s="19"/>
      <c r="E139" s="21"/>
      <c r="F139" s="18"/>
      <c r="G139" s="18"/>
      <c r="H139" s="17"/>
      <c r="I139" s="17"/>
      <c r="J139" s="19"/>
      <c r="K139" s="23" t="str">
        <f>IF(A139="","",IF(G139&lt;&gt;"","Resolvida",IF(F139&lt;DataRef,"Vencida","No prazo")))</f>
        <v/>
      </c>
    </row>
    <row r="140" spans="1:11" x14ac:dyDescent="0.25">
      <c r="A140" s="19"/>
      <c r="B140" s="21"/>
      <c r="C140" s="18"/>
      <c r="D140" s="19"/>
      <c r="E140" s="21"/>
      <c r="F140" s="18"/>
      <c r="G140" s="18"/>
      <c r="H140" s="17"/>
      <c r="I140" s="17"/>
      <c r="J140" s="19"/>
      <c r="K140" s="23" t="str">
        <f>IF(A140="","",IF(G140&lt;&gt;"","Resolvida",IF(F140&lt;DataRef,"Vencida","No prazo")))</f>
        <v/>
      </c>
    </row>
    <row r="141" spans="1:11" x14ac:dyDescent="0.25">
      <c r="A141" s="19"/>
      <c r="B141" s="21"/>
      <c r="C141" s="18"/>
      <c r="D141" s="19"/>
      <c r="E141" s="21"/>
      <c r="F141" s="18"/>
      <c r="G141" s="18"/>
      <c r="H141" s="17"/>
      <c r="I141" s="17"/>
      <c r="J141" s="19"/>
      <c r="K141" s="23" t="str">
        <f>IF(A141="","",IF(G141&lt;&gt;"","Resolvida",IF(F141&lt;DataRef,"Vencida","No prazo")))</f>
        <v/>
      </c>
    </row>
    <row r="142" spans="1:11" x14ac:dyDescent="0.25">
      <c r="A142" s="19"/>
      <c r="B142" s="21"/>
      <c r="C142" s="18"/>
      <c r="D142" s="19"/>
      <c r="E142" s="21"/>
      <c r="F142" s="18"/>
      <c r="G142" s="18"/>
      <c r="H142" s="17"/>
      <c r="I142" s="17"/>
      <c r="J142" s="19"/>
      <c r="K142" s="23" t="str">
        <f>IF(A142="","",IF(G142&lt;&gt;"","Resolvida",IF(F142&lt;DataRef,"Vencida","No prazo")))</f>
        <v/>
      </c>
    </row>
    <row r="143" spans="1:11" x14ac:dyDescent="0.25">
      <c r="A143" s="19"/>
      <c r="B143" s="21"/>
      <c r="C143" s="18"/>
      <c r="D143" s="19"/>
      <c r="E143" s="21"/>
      <c r="F143" s="18"/>
      <c r="G143" s="18"/>
      <c r="H143" s="17"/>
      <c r="I143" s="17"/>
      <c r="J143" s="19"/>
      <c r="K143" s="23" t="str">
        <f>IF(A143="","",IF(G143&lt;&gt;"","Resolvida",IF(F143&lt;DataRef,"Vencida","No prazo")))</f>
        <v/>
      </c>
    </row>
    <row r="144" spans="1:11" x14ac:dyDescent="0.25">
      <c r="A144" s="19"/>
      <c r="B144" s="21"/>
      <c r="C144" s="18"/>
      <c r="D144" s="19"/>
      <c r="E144" s="21"/>
      <c r="F144" s="18"/>
      <c r="G144" s="18"/>
      <c r="H144" s="17"/>
      <c r="I144" s="17"/>
      <c r="J144" s="19"/>
      <c r="K144" s="23" t="str">
        <f>IF(A144="","",IF(G144&lt;&gt;"","Resolvida",IF(F144&lt;DataRef,"Vencida","No prazo")))</f>
        <v/>
      </c>
    </row>
    <row r="145" spans="1:11" x14ac:dyDescent="0.25">
      <c r="A145" s="19"/>
      <c r="B145" s="21"/>
      <c r="C145" s="18"/>
      <c r="D145" s="19"/>
      <c r="E145" s="21"/>
      <c r="F145" s="18"/>
      <c r="G145" s="18"/>
      <c r="H145" s="17"/>
      <c r="I145" s="17"/>
      <c r="J145" s="19"/>
      <c r="K145" s="23" t="str">
        <f>IF(A145="","",IF(G145&lt;&gt;"","Resolvida",IF(F145&lt;DataRef,"Vencida","No prazo")))</f>
        <v/>
      </c>
    </row>
    <row r="146" spans="1:11" x14ac:dyDescent="0.25">
      <c r="A146" s="19"/>
      <c r="B146" s="21"/>
      <c r="C146" s="18"/>
      <c r="D146" s="19"/>
      <c r="E146" s="21"/>
      <c r="F146" s="18"/>
      <c r="G146" s="18"/>
      <c r="H146" s="17"/>
      <c r="I146" s="17"/>
      <c r="J146" s="19"/>
      <c r="K146" s="23" t="str">
        <f>IF(A146="","",IF(G146&lt;&gt;"","Resolvida",IF(F146&lt;DataRef,"Vencida","No prazo")))</f>
        <v/>
      </c>
    </row>
    <row r="147" spans="1:11" x14ac:dyDescent="0.25">
      <c r="A147" s="19"/>
      <c r="B147" s="21"/>
      <c r="C147" s="18"/>
      <c r="D147" s="19"/>
      <c r="E147" s="21"/>
      <c r="F147" s="18"/>
      <c r="G147" s="18"/>
      <c r="H147" s="17"/>
      <c r="I147" s="17"/>
      <c r="J147" s="19"/>
      <c r="K147" s="23" t="str">
        <f>IF(A147="","",IF(G147&lt;&gt;"","Resolvida",IF(F147&lt;DataRef,"Vencida","No prazo")))</f>
        <v/>
      </c>
    </row>
    <row r="148" spans="1:11" x14ac:dyDescent="0.25">
      <c r="A148" s="19"/>
      <c r="B148" s="21"/>
      <c r="C148" s="18"/>
      <c r="D148" s="19"/>
      <c r="E148" s="21"/>
      <c r="F148" s="18"/>
      <c r="G148" s="18"/>
      <c r="H148" s="17"/>
      <c r="I148" s="17"/>
      <c r="J148" s="19"/>
      <c r="K148" s="23" t="str">
        <f>IF(A148="","",IF(G148&lt;&gt;"","Resolvida",IF(F148&lt;DataRef,"Vencida","No prazo")))</f>
        <v/>
      </c>
    </row>
    <row r="149" spans="1:11" x14ac:dyDescent="0.25">
      <c r="A149" s="19"/>
      <c r="B149" s="21"/>
      <c r="C149" s="18"/>
      <c r="D149" s="19"/>
      <c r="E149" s="21"/>
      <c r="F149" s="18"/>
      <c r="G149" s="18"/>
      <c r="H149" s="17"/>
      <c r="I149" s="17"/>
      <c r="J149" s="19"/>
      <c r="K149" s="23" t="str">
        <f>IF(A149="","",IF(G149&lt;&gt;"","Resolvida",IF(F149&lt;DataRef,"Vencida","No prazo")))</f>
        <v/>
      </c>
    </row>
    <row r="150" spans="1:11" x14ac:dyDescent="0.25">
      <c r="A150" s="19"/>
      <c r="B150" s="21"/>
      <c r="C150" s="18"/>
      <c r="D150" s="19"/>
      <c r="E150" s="21"/>
      <c r="F150" s="18"/>
      <c r="G150" s="18"/>
      <c r="H150" s="17"/>
      <c r="I150" s="17"/>
      <c r="J150" s="19"/>
      <c r="K150" s="23" t="str">
        <f>IF(A150="","",IF(G150&lt;&gt;"","Resolvida",IF(F150&lt;DataRef,"Vencida","No prazo")))</f>
        <v/>
      </c>
    </row>
    <row r="151" spans="1:11" x14ac:dyDescent="0.25">
      <c r="A151" s="19"/>
      <c r="B151" s="21"/>
      <c r="C151" s="18"/>
      <c r="D151" s="19"/>
      <c r="E151" s="21"/>
      <c r="F151" s="18"/>
      <c r="G151" s="18"/>
      <c r="H151" s="17"/>
      <c r="I151" s="17"/>
      <c r="J151" s="19"/>
      <c r="K151" s="23" t="str">
        <f>IF(A151="","",IF(G151&lt;&gt;"","Resolvida",IF(F151&lt;DataRef,"Vencida","No prazo")))</f>
        <v/>
      </c>
    </row>
    <row r="152" spans="1:11" x14ac:dyDescent="0.25">
      <c r="A152" s="19"/>
      <c r="B152" s="21"/>
      <c r="C152" s="18"/>
      <c r="D152" s="19"/>
      <c r="E152" s="21"/>
      <c r="F152" s="18"/>
      <c r="G152" s="18"/>
      <c r="H152" s="17"/>
      <c r="I152" s="17"/>
      <c r="J152" s="19"/>
      <c r="K152" s="23" t="str">
        <f>IF(A152="","",IF(G152&lt;&gt;"","Resolvida",IF(F152&lt;DataRef,"Vencida","No prazo")))</f>
        <v/>
      </c>
    </row>
    <row r="153" spans="1:11" x14ac:dyDescent="0.25">
      <c r="A153" s="19"/>
      <c r="B153" s="21"/>
      <c r="C153" s="18"/>
      <c r="D153" s="19"/>
      <c r="E153" s="21"/>
      <c r="F153" s="18"/>
      <c r="G153" s="18"/>
      <c r="H153" s="17"/>
      <c r="I153" s="17"/>
      <c r="J153" s="19"/>
      <c r="K153" s="23" t="str">
        <f>IF(A153="","",IF(G153&lt;&gt;"","Resolvida",IF(F153&lt;DataRef,"Vencida","No prazo")))</f>
        <v/>
      </c>
    </row>
    <row r="154" spans="1:11" x14ac:dyDescent="0.25">
      <c r="A154" s="19"/>
      <c r="B154" s="21"/>
      <c r="C154" s="18"/>
      <c r="D154" s="19"/>
      <c r="E154" s="21"/>
      <c r="F154" s="18"/>
      <c r="G154" s="18"/>
      <c r="H154" s="17"/>
      <c r="I154" s="17"/>
      <c r="J154" s="19"/>
      <c r="K154" s="23" t="str">
        <f>IF(A154="","",IF(G154&lt;&gt;"","Resolvida",IF(F154&lt;DataRef,"Vencida","No prazo")))</f>
        <v/>
      </c>
    </row>
    <row r="155" spans="1:11" x14ac:dyDescent="0.25">
      <c r="A155" s="19"/>
      <c r="B155" s="21"/>
      <c r="C155" s="18"/>
      <c r="D155" s="19"/>
      <c r="E155" s="21"/>
      <c r="F155" s="18"/>
      <c r="G155" s="18"/>
      <c r="H155" s="17"/>
      <c r="I155" s="17"/>
      <c r="J155" s="19"/>
      <c r="K155" s="23" t="str">
        <f>IF(A155="","",IF(G155&lt;&gt;"","Resolvida",IF(F155&lt;DataRef,"Vencida","No prazo")))</f>
        <v/>
      </c>
    </row>
    <row r="156" spans="1:11" x14ac:dyDescent="0.25">
      <c r="A156" s="19"/>
      <c r="B156" s="21"/>
      <c r="C156" s="18"/>
      <c r="D156" s="19"/>
      <c r="E156" s="21"/>
      <c r="F156" s="18"/>
      <c r="G156" s="18"/>
      <c r="H156" s="17"/>
      <c r="I156" s="17"/>
      <c r="J156" s="19"/>
      <c r="K156" s="23" t="str">
        <f>IF(A156="","",IF(G156&lt;&gt;"","Resolvida",IF(F156&lt;DataRef,"Vencida","No prazo")))</f>
        <v/>
      </c>
    </row>
    <row r="157" spans="1:11" x14ac:dyDescent="0.25">
      <c r="A157" s="19"/>
      <c r="B157" s="21"/>
      <c r="C157" s="18"/>
      <c r="D157" s="19"/>
      <c r="E157" s="21"/>
      <c r="F157" s="18"/>
      <c r="G157" s="18"/>
      <c r="H157" s="17"/>
      <c r="I157" s="17"/>
      <c r="J157" s="19"/>
      <c r="K157" s="23" t="str">
        <f>IF(A157="","",IF(G157&lt;&gt;"","Resolvida",IF(F157&lt;DataRef,"Vencida","No prazo")))</f>
        <v/>
      </c>
    </row>
    <row r="158" spans="1:11" x14ac:dyDescent="0.25">
      <c r="A158" s="19"/>
      <c r="B158" s="21"/>
      <c r="C158" s="18"/>
      <c r="D158" s="19"/>
      <c r="E158" s="21"/>
      <c r="F158" s="18"/>
      <c r="G158" s="18"/>
      <c r="H158" s="17"/>
      <c r="I158" s="17"/>
      <c r="J158" s="19"/>
      <c r="K158" s="23" t="str">
        <f>IF(A158="","",IF(G158&lt;&gt;"","Resolvida",IF(F158&lt;DataRef,"Vencida","No prazo")))</f>
        <v/>
      </c>
    </row>
    <row r="159" spans="1:11" x14ac:dyDescent="0.25">
      <c r="A159" s="19"/>
      <c r="B159" s="21"/>
      <c r="C159" s="18"/>
      <c r="D159" s="19"/>
      <c r="E159" s="21"/>
      <c r="F159" s="18"/>
      <c r="G159" s="18"/>
      <c r="H159" s="17"/>
      <c r="I159" s="17"/>
      <c r="J159" s="19"/>
      <c r="K159" s="23" t="str">
        <f>IF(A159="","",IF(G159&lt;&gt;"","Resolvida",IF(F159&lt;DataRef,"Vencida","No prazo")))</f>
        <v/>
      </c>
    </row>
    <row r="160" spans="1:11" x14ac:dyDescent="0.25">
      <c r="A160" s="19"/>
      <c r="B160" s="21"/>
      <c r="C160" s="18"/>
      <c r="D160" s="19"/>
      <c r="E160" s="21"/>
      <c r="F160" s="18"/>
      <c r="G160" s="18"/>
      <c r="H160" s="17"/>
      <c r="I160" s="17"/>
      <c r="J160" s="19"/>
      <c r="K160" s="23" t="str">
        <f>IF(A160="","",IF(G160&lt;&gt;"","Resolvida",IF(F160&lt;DataRef,"Vencida","No prazo")))</f>
        <v/>
      </c>
    </row>
    <row r="161" spans="1:11" x14ac:dyDescent="0.25">
      <c r="A161" s="19"/>
      <c r="B161" s="21"/>
      <c r="C161" s="18"/>
      <c r="D161" s="19"/>
      <c r="E161" s="21"/>
      <c r="F161" s="18"/>
      <c r="G161" s="18"/>
      <c r="H161" s="17"/>
      <c r="I161" s="17"/>
      <c r="J161" s="19"/>
      <c r="K161" s="23" t="str">
        <f>IF(A161="","",IF(G161&lt;&gt;"","Resolvida",IF(F161&lt;DataRef,"Vencida","No prazo")))</f>
        <v/>
      </c>
    </row>
    <row r="162" spans="1:11" x14ac:dyDescent="0.25">
      <c r="A162" s="19"/>
      <c r="B162" s="21"/>
      <c r="C162" s="18"/>
      <c r="D162" s="19"/>
      <c r="E162" s="21"/>
      <c r="F162" s="18"/>
      <c r="G162" s="18"/>
      <c r="H162" s="17"/>
      <c r="I162" s="17"/>
      <c r="J162" s="19"/>
      <c r="K162" s="23" t="str">
        <f>IF(A162="","",IF(G162&lt;&gt;"","Resolvida",IF(F162&lt;DataRef,"Vencida","No prazo")))</f>
        <v/>
      </c>
    </row>
    <row r="163" spans="1:11" x14ac:dyDescent="0.25">
      <c r="A163" s="19"/>
      <c r="B163" s="21"/>
      <c r="C163" s="18"/>
      <c r="D163" s="19"/>
      <c r="E163" s="21"/>
      <c r="F163" s="18"/>
      <c r="G163" s="18"/>
      <c r="H163" s="17"/>
      <c r="I163" s="17"/>
      <c r="J163" s="19"/>
      <c r="K163" s="23" t="str">
        <f>IF(A163="","",IF(G163&lt;&gt;"","Resolvida",IF(F163&lt;DataRef,"Vencida","No prazo")))</f>
        <v/>
      </c>
    </row>
    <row r="164" spans="1:11" x14ac:dyDescent="0.25">
      <c r="A164" s="19"/>
      <c r="B164" s="21"/>
      <c r="C164" s="18"/>
      <c r="D164" s="19"/>
      <c r="E164" s="21"/>
      <c r="F164" s="18"/>
      <c r="G164" s="18"/>
      <c r="H164" s="17"/>
      <c r="I164" s="17"/>
      <c r="J164" s="19"/>
      <c r="K164" s="23" t="str">
        <f>IF(A164="","",IF(G164&lt;&gt;"","Resolvida",IF(F164&lt;DataRef,"Vencida","No prazo")))</f>
        <v/>
      </c>
    </row>
    <row r="165" spans="1:11" x14ac:dyDescent="0.25">
      <c r="A165" s="19"/>
      <c r="B165" s="21"/>
      <c r="C165" s="18"/>
      <c r="D165" s="19"/>
      <c r="E165" s="21"/>
      <c r="F165" s="18"/>
      <c r="G165" s="18"/>
      <c r="H165" s="17"/>
      <c r="I165" s="17"/>
      <c r="J165" s="19"/>
      <c r="K165" s="23" t="str">
        <f>IF(A165="","",IF(G165&lt;&gt;"","Resolvida",IF(F165&lt;DataRef,"Vencida","No prazo")))</f>
        <v/>
      </c>
    </row>
    <row r="166" spans="1:11" x14ac:dyDescent="0.25">
      <c r="A166" s="19"/>
      <c r="B166" s="21"/>
      <c r="C166" s="18"/>
      <c r="D166" s="19"/>
      <c r="E166" s="21"/>
      <c r="F166" s="18"/>
      <c r="G166" s="18"/>
      <c r="H166" s="17"/>
      <c r="I166" s="17"/>
      <c r="J166" s="19"/>
      <c r="K166" s="23" t="str">
        <f>IF(A166="","",IF(G166&lt;&gt;"","Resolvida",IF(F166&lt;DataRef,"Vencida","No prazo")))</f>
        <v/>
      </c>
    </row>
    <row r="167" spans="1:11" x14ac:dyDescent="0.25">
      <c r="A167" s="19"/>
      <c r="B167" s="21"/>
      <c r="C167" s="18"/>
      <c r="D167" s="19"/>
      <c r="E167" s="21"/>
      <c r="F167" s="18"/>
      <c r="G167" s="18"/>
      <c r="H167" s="17"/>
      <c r="I167" s="17"/>
      <c r="J167" s="19"/>
      <c r="K167" s="23" t="str">
        <f>IF(A167="","",IF(G167&lt;&gt;"","Resolvida",IF(F167&lt;DataRef,"Vencida","No prazo")))</f>
        <v/>
      </c>
    </row>
    <row r="168" spans="1:11" x14ac:dyDescent="0.25">
      <c r="A168" s="19"/>
      <c r="B168" s="21"/>
      <c r="C168" s="18"/>
      <c r="D168" s="19"/>
      <c r="E168" s="21"/>
      <c r="F168" s="18"/>
      <c r="G168" s="18"/>
      <c r="H168" s="17"/>
      <c r="I168" s="17"/>
      <c r="J168" s="19"/>
      <c r="K168" s="23" t="str">
        <f>IF(A168="","",IF(G168&lt;&gt;"","Resolvida",IF(F168&lt;DataRef,"Vencida","No prazo")))</f>
        <v/>
      </c>
    </row>
    <row r="169" spans="1:11" x14ac:dyDescent="0.25">
      <c r="A169" s="19"/>
      <c r="B169" s="21"/>
      <c r="C169" s="18"/>
      <c r="D169" s="19"/>
      <c r="E169" s="21"/>
      <c r="F169" s="18"/>
      <c r="G169" s="18"/>
      <c r="H169" s="17"/>
      <c r="I169" s="17"/>
      <c r="J169" s="19"/>
      <c r="K169" s="23" t="str">
        <f>IF(A169="","",IF(G169&lt;&gt;"","Resolvida",IF(F169&lt;DataRef,"Vencida","No prazo")))</f>
        <v/>
      </c>
    </row>
    <row r="170" spans="1:11" x14ac:dyDescent="0.25">
      <c r="A170" s="19"/>
      <c r="B170" s="21"/>
      <c r="C170" s="18"/>
      <c r="D170" s="19"/>
      <c r="E170" s="21"/>
      <c r="F170" s="18"/>
      <c r="G170" s="18"/>
      <c r="H170" s="17"/>
      <c r="I170" s="17"/>
      <c r="J170" s="19"/>
      <c r="K170" s="23" t="str">
        <f>IF(A170="","",IF(G170&lt;&gt;"","Resolvida",IF(F170&lt;DataRef,"Vencida","No prazo")))</f>
        <v/>
      </c>
    </row>
    <row r="171" spans="1:11" x14ac:dyDescent="0.25">
      <c r="A171" s="19"/>
      <c r="B171" s="21"/>
      <c r="C171" s="18"/>
      <c r="D171" s="19"/>
      <c r="E171" s="21"/>
      <c r="F171" s="18"/>
      <c r="G171" s="18"/>
      <c r="H171" s="17"/>
      <c r="I171" s="17"/>
      <c r="J171" s="19"/>
      <c r="K171" s="23" t="str">
        <f>IF(A171="","",IF(G171&lt;&gt;"","Resolvida",IF(F171&lt;DataRef,"Vencida","No prazo")))</f>
        <v/>
      </c>
    </row>
    <row r="172" spans="1:11" x14ac:dyDescent="0.25">
      <c r="A172" s="19"/>
      <c r="B172" s="21"/>
      <c r="C172" s="18"/>
      <c r="D172" s="19"/>
      <c r="E172" s="21"/>
      <c r="F172" s="18"/>
      <c r="G172" s="18"/>
      <c r="H172" s="17"/>
      <c r="I172" s="17"/>
      <c r="J172" s="19"/>
      <c r="K172" s="23" t="str">
        <f>IF(A172="","",IF(G172&lt;&gt;"","Resolvida",IF(F172&lt;DataRef,"Vencida","No prazo")))</f>
        <v/>
      </c>
    </row>
    <row r="173" spans="1:11" x14ac:dyDescent="0.25">
      <c r="A173" s="19"/>
      <c r="B173" s="21"/>
      <c r="C173" s="18"/>
      <c r="D173" s="19"/>
      <c r="E173" s="21"/>
      <c r="F173" s="18"/>
      <c r="G173" s="18"/>
      <c r="H173" s="17"/>
      <c r="I173" s="17"/>
      <c r="J173" s="19"/>
      <c r="K173" s="23" t="str">
        <f>IF(A173="","",IF(G173&lt;&gt;"","Resolvida",IF(F173&lt;DataRef,"Vencida","No prazo")))</f>
        <v/>
      </c>
    </row>
    <row r="174" spans="1:11" x14ac:dyDescent="0.25">
      <c r="A174" s="19"/>
      <c r="B174" s="21"/>
      <c r="C174" s="18"/>
      <c r="D174" s="19"/>
      <c r="E174" s="21"/>
      <c r="F174" s="18"/>
      <c r="G174" s="18"/>
      <c r="H174" s="17"/>
      <c r="I174" s="17"/>
      <c r="J174" s="19"/>
      <c r="K174" s="23" t="str">
        <f>IF(A174="","",IF(G174&lt;&gt;"","Resolvida",IF(F174&lt;DataRef,"Vencida","No prazo")))</f>
        <v/>
      </c>
    </row>
    <row r="175" spans="1:11" x14ac:dyDescent="0.25">
      <c r="A175" s="19"/>
      <c r="B175" s="21"/>
      <c r="C175" s="18"/>
      <c r="D175" s="19"/>
      <c r="E175" s="21"/>
      <c r="F175" s="18"/>
      <c r="G175" s="18"/>
      <c r="H175" s="17"/>
      <c r="I175" s="17"/>
      <c r="J175" s="19"/>
      <c r="K175" s="23" t="str">
        <f>IF(A175="","",IF(G175&lt;&gt;"","Resolvida",IF(F175&lt;DataRef,"Vencida","No prazo")))</f>
        <v/>
      </c>
    </row>
    <row r="176" spans="1:11" x14ac:dyDescent="0.25">
      <c r="A176" s="19"/>
      <c r="B176" s="21"/>
      <c r="C176" s="18"/>
      <c r="D176" s="19"/>
      <c r="E176" s="21"/>
      <c r="F176" s="18"/>
      <c r="G176" s="18"/>
      <c r="H176" s="17"/>
      <c r="I176" s="17"/>
      <c r="J176" s="19"/>
      <c r="K176" s="23" t="str">
        <f>IF(A176="","",IF(G176&lt;&gt;"","Resolvida",IF(F176&lt;DataRef,"Vencida","No prazo")))</f>
        <v/>
      </c>
    </row>
    <row r="177" spans="1:11" x14ac:dyDescent="0.25">
      <c r="A177" s="19"/>
      <c r="B177" s="21"/>
      <c r="C177" s="18"/>
      <c r="D177" s="19"/>
      <c r="E177" s="21"/>
      <c r="F177" s="18"/>
      <c r="G177" s="18"/>
      <c r="H177" s="17"/>
      <c r="I177" s="17"/>
      <c r="J177" s="19"/>
      <c r="K177" s="23" t="str">
        <f>IF(A177="","",IF(G177&lt;&gt;"","Resolvida",IF(F177&lt;DataRef,"Vencida","No prazo")))</f>
        <v/>
      </c>
    </row>
    <row r="178" spans="1:11" x14ac:dyDescent="0.25">
      <c r="A178" s="19"/>
      <c r="B178" s="21"/>
      <c r="C178" s="18"/>
      <c r="D178" s="19"/>
      <c r="E178" s="21"/>
      <c r="F178" s="18"/>
      <c r="G178" s="18"/>
      <c r="H178" s="17"/>
      <c r="I178" s="17"/>
      <c r="J178" s="19"/>
      <c r="K178" s="23" t="str">
        <f>IF(A178="","",IF(G178&lt;&gt;"","Resolvida",IF(F178&lt;DataRef,"Vencida","No prazo")))</f>
        <v/>
      </c>
    </row>
    <row r="179" spans="1:11" x14ac:dyDescent="0.25">
      <c r="A179" s="19"/>
      <c r="B179" s="21"/>
      <c r="C179" s="18"/>
      <c r="D179" s="19"/>
      <c r="E179" s="21"/>
      <c r="F179" s="18"/>
      <c r="G179" s="18"/>
      <c r="H179" s="17"/>
      <c r="I179" s="17"/>
      <c r="J179" s="19"/>
      <c r="K179" s="23" t="str">
        <f>IF(A179="","",IF(G179&lt;&gt;"","Resolvida",IF(F179&lt;DataRef,"Vencida","No prazo")))</f>
        <v/>
      </c>
    </row>
    <row r="180" spans="1:11" x14ac:dyDescent="0.25">
      <c r="A180" s="19"/>
      <c r="B180" s="21"/>
      <c r="C180" s="18"/>
      <c r="D180" s="19"/>
      <c r="E180" s="21"/>
      <c r="F180" s="18"/>
      <c r="G180" s="18"/>
      <c r="H180" s="17"/>
      <c r="I180" s="17"/>
      <c r="J180" s="19"/>
      <c r="K180" s="23" t="str">
        <f>IF(A180="","",IF(G180&lt;&gt;"","Resolvida",IF(F180&lt;DataRef,"Vencida","No prazo")))</f>
        <v/>
      </c>
    </row>
    <row r="181" spans="1:11" x14ac:dyDescent="0.25">
      <c r="A181" s="19"/>
      <c r="B181" s="21"/>
      <c r="C181" s="18"/>
      <c r="D181" s="19"/>
      <c r="E181" s="21"/>
      <c r="F181" s="18"/>
      <c r="G181" s="18"/>
      <c r="H181" s="17"/>
      <c r="I181" s="17"/>
      <c r="J181" s="19"/>
      <c r="K181" s="23" t="str">
        <f>IF(A181="","",IF(G181&lt;&gt;"","Resolvida",IF(F181&lt;DataRef,"Vencida","No prazo")))</f>
        <v/>
      </c>
    </row>
    <row r="182" spans="1:11" x14ac:dyDescent="0.25">
      <c r="A182" s="19"/>
      <c r="B182" s="21"/>
      <c r="C182" s="18"/>
      <c r="D182" s="19"/>
      <c r="E182" s="21"/>
      <c r="F182" s="18"/>
      <c r="G182" s="18"/>
      <c r="H182" s="17"/>
      <c r="I182" s="17"/>
      <c r="J182" s="19"/>
      <c r="K182" s="23" t="str">
        <f>IF(A182="","",IF(G182&lt;&gt;"","Resolvida",IF(F182&lt;DataRef,"Vencida","No prazo")))</f>
        <v/>
      </c>
    </row>
    <row r="183" spans="1:11" x14ac:dyDescent="0.25">
      <c r="A183" s="19"/>
      <c r="B183" s="21"/>
      <c r="C183" s="18"/>
      <c r="D183" s="19"/>
      <c r="E183" s="21"/>
      <c r="F183" s="18"/>
      <c r="G183" s="18"/>
      <c r="H183" s="17"/>
      <c r="I183" s="17"/>
      <c r="J183" s="19"/>
      <c r="K183" s="23" t="str">
        <f>IF(A183="","",IF(G183&lt;&gt;"","Resolvida",IF(F183&lt;DataRef,"Vencida","No prazo")))</f>
        <v/>
      </c>
    </row>
    <row r="184" spans="1:11" x14ac:dyDescent="0.25">
      <c r="A184" s="19"/>
      <c r="B184" s="21"/>
      <c r="C184" s="18"/>
      <c r="D184" s="19"/>
      <c r="E184" s="21"/>
      <c r="F184" s="18"/>
      <c r="G184" s="18"/>
      <c r="H184" s="17"/>
      <c r="I184" s="17"/>
      <c r="J184" s="19"/>
      <c r="K184" s="23" t="str">
        <f>IF(A184="","",IF(G184&lt;&gt;"","Resolvida",IF(F184&lt;DataRef,"Vencida","No prazo")))</f>
        <v/>
      </c>
    </row>
    <row r="185" spans="1:11" x14ac:dyDescent="0.25">
      <c r="A185" s="19"/>
      <c r="B185" s="21"/>
      <c r="C185" s="18"/>
      <c r="D185" s="19"/>
      <c r="E185" s="21"/>
      <c r="F185" s="18"/>
      <c r="G185" s="18"/>
      <c r="H185" s="17"/>
      <c r="I185" s="17"/>
      <c r="J185" s="19"/>
      <c r="K185" s="23" t="str">
        <f>IF(A185="","",IF(G185&lt;&gt;"","Resolvida",IF(F185&lt;DataRef,"Vencida","No prazo")))</f>
        <v/>
      </c>
    </row>
    <row r="186" spans="1:11" x14ac:dyDescent="0.25">
      <c r="A186" s="19"/>
      <c r="B186" s="21"/>
      <c r="C186" s="18"/>
      <c r="D186" s="19"/>
      <c r="E186" s="21"/>
      <c r="F186" s="18"/>
      <c r="G186" s="18"/>
      <c r="H186" s="17"/>
      <c r="I186" s="17"/>
      <c r="J186" s="19"/>
      <c r="K186" s="23" t="str">
        <f>IF(A186="","",IF(G186&lt;&gt;"","Resolvida",IF(F186&lt;DataRef,"Vencida","No prazo")))</f>
        <v/>
      </c>
    </row>
    <row r="187" spans="1:11" x14ac:dyDescent="0.25">
      <c r="A187" s="19"/>
      <c r="B187" s="21"/>
      <c r="C187" s="18"/>
      <c r="D187" s="19"/>
      <c r="E187" s="21"/>
      <c r="F187" s="18"/>
      <c r="G187" s="18"/>
      <c r="H187" s="17"/>
      <c r="I187" s="17"/>
      <c r="J187" s="19"/>
      <c r="K187" s="23" t="str">
        <f>IF(A187="","",IF(G187&lt;&gt;"","Resolvida",IF(F187&lt;DataRef,"Vencida","No prazo")))</f>
        <v/>
      </c>
    </row>
    <row r="188" spans="1:11" x14ac:dyDescent="0.25">
      <c r="A188" s="19"/>
      <c r="B188" s="21"/>
      <c r="C188" s="18"/>
      <c r="D188" s="19"/>
      <c r="E188" s="21"/>
      <c r="F188" s="18"/>
      <c r="G188" s="18"/>
      <c r="H188" s="17"/>
      <c r="I188" s="17"/>
      <c r="J188" s="19"/>
      <c r="K188" s="23" t="str">
        <f>IF(A188="","",IF(G188&lt;&gt;"","Resolvida",IF(F188&lt;DataRef,"Vencida","No prazo")))</f>
        <v/>
      </c>
    </row>
    <row r="189" spans="1:11" x14ac:dyDescent="0.25">
      <c r="A189" s="19"/>
      <c r="B189" s="21"/>
      <c r="C189" s="18"/>
      <c r="D189" s="19"/>
      <c r="E189" s="21"/>
      <c r="F189" s="18"/>
      <c r="G189" s="18"/>
      <c r="H189" s="17"/>
      <c r="I189" s="17"/>
      <c r="J189" s="19"/>
      <c r="K189" s="23" t="str">
        <f>IF(A189="","",IF(G189&lt;&gt;"","Resolvida",IF(F189&lt;DataRef,"Vencida","No prazo")))</f>
        <v/>
      </c>
    </row>
    <row r="190" spans="1:11" x14ac:dyDescent="0.25">
      <c r="A190" s="19"/>
      <c r="B190" s="21"/>
      <c r="C190" s="18"/>
      <c r="D190" s="19"/>
      <c r="E190" s="21"/>
      <c r="F190" s="18"/>
      <c r="G190" s="18"/>
      <c r="H190" s="17"/>
      <c r="I190" s="17"/>
      <c r="J190" s="19"/>
      <c r="K190" s="23" t="str">
        <f>IF(A190="","",IF(G190&lt;&gt;"","Resolvida",IF(F190&lt;DataRef,"Vencida","No prazo")))</f>
        <v/>
      </c>
    </row>
    <row r="191" spans="1:11" x14ac:dyDescent="0.25">
      <c r="A191" s="19"/>
      <c r="B191" s="21"/>
      <c r="C191" s="18"/>
      <c r="D191" s="19"/>
      <c r="E191" s="21"/>
      <c r="F191" s="18"/>
      <c r="G191" s="18"/>
      <c r="H191" s="17"/>
      <c r="I191" s="17"/>
      <c r="J191" s="19"/>
      <c r="K191" s="23" t="str">
        <f>IF(A191="","",IF(G191&lt;&gt;"","Resolvida",IF(F191&lt;DataRef,"Vencida","No prazo")))</f>
        <v/>
      </c>
    </row>
    <row r="192" spans="1:11" x14ac:dyDescent="0.25">
      <c r="A192" s="19"/>
      <c r="B192" s="21"/>
      <c r="C192" s="18"/>
      <c r="D192" s="19"/>
      <c r="E192" s="21"/>
      <c r="F192" s="18"/>
      <c r="G192" s="18"/>
      <c r="H192" s="17"/>
      <c r="I192" s="17"/>
      <c r="J192" s="19"/>
      <c r="K192" s="23" t="str">
        <f>IF(A192="","",IF(G192&lt;&gt;"","Resolvida",IF(F192&lt;DataRef,"Vencida","No prazo")))</f>
        <v/>
      </c>
    </row>
    <row r="193" spans="1:11" x14ac:dyDescent="0.25">
      <c r="A193" s="19"/>
      <c r="B193" s="21"/>
      <c r="C193" s="18"/>
      <c r="D193" s="19"/>
      <c r="E193" s="21"/>
      <c r="F193" s="18"/>
      <c r="G193" s="18"/>
      <c r="H193" s="17"/>
      <c r="I193" s="17"/>
      <c r="J193" s="19"/>
      <c r="K193" s="23" t="str">
        <f>IF(A193="","",IF(G193&lt;&gt;"","Resolvida",IF(F193&lt;DataRef,"Vencida","No prazo")))</f>
        <v/>
      </c>
    </row>
    <row r="194" spans="1:11" x14ac:dyDescent="0.25">
      <c r="A194" s="19"/>
      <c r="B194" s="21"/>
      <c r="C194" s="18"/>
      <c r="D194" s="19"/>
      <c r="E194" s="21"/>
      <c r="F194" s="18"/>
      <c r="G194" s="18"/>
      <c r="H194" s="17"/>
      <c r="I194" s="17"/>
      <c r="J194" s="19"/>
      <c r="K194" s="23" t="str">
        <f>IF(A194="","",IF(G194&lt;&gt;"","Resolvida",IF(F194&lt;DataRef,"Vencida","No prazo")))</f>
        <v/>
      </c>
    </row>
    <row r="195" spans="1:11" x14ac:dyDescent="0.25">
      <c r="A195" s="19"/>
      <c r="B195" s="21"/>
      <c r="C195" s="18"/>
      <c r="D195" s="19"/>
      <c r="E195" s="21"/>
      <c r="F195" s="18"/>
      <c r="G195" s="18"/>
      <c r="H195" s="17"/>
      <c r="I195" s="17"/>
      <c r="J195" s="19"/>
      <c r="K195" s="23" t="str">
        <f>IF(A195="","",IF(G195&lt;&gt;"","Resolvida",IF(F195&lt;DataRef,"Vencida","No prazo")))</f>
        <v/>
      </c>
    </row>
    <row r="196" spans="1:11" x14ac:dyDescent="0.25">
      <c r="A196" s="19"/>
      <c r="B196" s="21"/>
      <c r="C196" s="18"/>
      <c r="D196" s="19"/>
      <c r="E196" s="21"/>
      <c r="F196" s="18"/>
      <c r="G196" s="18"/>
      <c r="H196" s="17"/>
      <c r="I196" s="17"/>
      <c r="J196" s="19"/>
      <c r="K196" s="23" t="str">
        <f>IF(A196="","",IF(G196&lt;&gt;"","Resolvida",IF(F196&lt;DataRef,"Vencida","No prazo")))</f>
        <v/>
      </c>
    </row>
    <row r="197" spans="1:11" x14ac:dyDescent="0.25">
      <c r="A197" s="19"/>
      <c r="B197" s="21"/>
      <c r="C197" s="18"/>
      <c r="D197" s="19"/>
      <c r="E197" s="21"/>
      <c r="F197" s="18"/>
      <c r="G197" s="18"/>
      <c r="H197" s="17"/>
      <c r="I197" s="17"/>
      <c r="J197" s="19"/>
      <c r="K197" s="23" t="str">
        <f>IF(A197="","",IF(G197&lt;&gt;"","Resolvida",IF(F197&lt;DataRef,"Vencida","No prazo")))</f>
        <v/>
      </c>
    </row>
    <row r="198" spans="1:11" x14ac:dyDescent="0.25">
      <c r="A198" s="19"/>
      <c r="B198" s="21"/>
      <c r="C198" s="18"/>
      <c r="D198" s="19"/>
      <c r="E198" s="21"/>
      <c r="F198" s="18"/>
      <c r="G198" s="18"/>
      <c r="H198" s="17"/>
      <c r="I198" s="17"/>
      <c r="J198" s="19"/>
      <c r="K198" s="23" t="str">
        <f>IF(A198="","",IF(G198&lt;&gt;"","Resolvida",IF(F198&lt;DataRef,"Vencida","No prazo")))</f>
        <v/>
      </c>
    </row>
    <row r="199" spans="1:11" x14ac:dyDescent="0.25">
      <c r="A199" s="19"/>
      <c r="B199" s="21"/>
      <c r="C199" s="18"/>
      <c r="D199" s="19"/>
      <c r="E199" s="21"/>
      <c r="F199" s="18"/>
      <c r="G199" s="18"/>
      <c r="H199" s="17"/>
      <c r="I199" s="17"/>
      <c r="J199" s="19"/>
      <c r="K199" s="23" t="str">
        <f>IF(A199="","",IF(G199&lt;&gt;"","Resolvida",IF(F199&lt;DataRef,"Vencida","No prazo")))</f>
        <v/>
      </c>
    </row>
    <row r="200" spans="1:11" x14ac:dyDescent="0.25">
      <c r="A200" s="19"/>
      <c r="B200" s="21"/>
      <c r="C200" s="18"/>
      <c r="D200" s="19"/>
      <c r="E200" s="21"/>
      <c r="F200" s="18"/>
      <c r="G200" s="18"/>
      <c r="H200" s="17"/>
      <c r="I200" s="17"/>
      <c r="J200" s="19"/>
      <c r="K200" s="23" t="str">
        <f>IF(A200="","",IF(G200&lt;&gt;"","Resolvida",IF(F200&lt;DataRef,"Vencida","No prazo")))</f>
        <v/>
      </c>
    </row>
    <row r="201" spans="1:11" x14ac:dyDescent="0.25">
      <c r="A201" s="19"/>
      <c r="B201" s="21"/>
      <c r="C201" s="18"/>
      <c r="D201" s="19"/>
      <c r="E201" s="21"/>
      <c r="F201" s="18"/>
      <c r="G201" s="18"/>
      <c r="H201" s="17"/>
      <c r="I201" s="17"/>
      <c r="J201" s="19"/>
      <c r="K201" s="23" t="str">
        <f>IF(A201="","",IF(G201&lt;&gt;"","Resolvida",IF(F201&lt;DataRef,"Vencida","No prazo")))</f>
        <v/>
      </c>
    </row>
    <row r="202" spans="1:11" x14ac:dyDescent="0.25">
      <c r="A202" s="19"/>
      <c r="B202" s="21"/>
      <c r="C202" s="18"/>
      <c r="D202" s="19"/>
      <c r="E202" s="21"/>
      <c r="F202" s="18"/>
      <c r="G202" s="18"/>
      <c r="H202" s="17"/>
      <c r="I202" s="17"/>
      <c r="J202" s="19"/>
      <c r="K202" s="23" t="str">
        <f>IF(A202="","",IF(G202&lt;&gt;"","Resolvida",IF(F202&lt;DataRef,"Vencida","No prazo")))</f>
        <v/>
      </c>
    </row>
    <row r="203" spans="1:11" x14ac:dyDescent="0.25">
      <c r="A203" s="19"/>
      <c r="B203" s="21"/>
      <c r="C203" s="18"/>
      <c r="D203" s="19"/>
      <c r="E203" s="21"/>
      <c r="F203" s="18"/>
      <c r="G203" s="18"/>
      <c r="H203" s="17"/>
      <c r="I203" s="17"/>
      <c r="J203" s="19"/>
      <c r="K203" s="23" t="str">
        <f>IF(A203="","",IF(G203&lt;&gt;"","Resolvida",IF(F203&lt;DataRef,"Vencida","No prazo")))</f>
        <v/>
      </c>
    </row>
    <row r="204" spans="1:11" x14ac:dyDescent="0.25">
      <c r="A204" s="19"/>
      <c r="B204" s="21"/>
      <c r="C204" s="18"/>
      <c r="D204" s="19"/>
      <c r="E204" s="21"/>
      <c r="F204" s="18"/>
      <c r="G204" s="18"/>
      <c r="H204" s="17"/>
      <c r="I204" s="17"/>
      <c r="J204" s="19"/>
      <c r="K204" s="23" t="str">
        <f>IF(A204="","",IF(G204&lt;&gt;"","Resolvida",IF(F204&lt;DataRef,"Vencida","No prazo")))</f>
        <v/>
      </c>
    </row>
    <row r="205" spans="1:11" x14ac:dyDescent="0.25">
      <c r="A205" s="19"/>
      <c r="B205" s="21"/>
      <c r="C205" s="18"/>
      <c r="D205" s="19"/>
      <c r="E205" s="21"/>
      <c r="F205" s="18"/>
      <c r="G205" s="18"/>
      <c r="H205" s="17"/>
      <c r="I205" s="17"/>
      <c r="J205" s="19"/>
      <c r="K205" s="23" t="str">
        <f>IF(A205="","",IF(G205&lt;&gt;"","Resolvida",IF(F205&lt;DataRef,"Vencida","No prazo")))</f>
        <v/>
      </c>
    </row>
    <row r="206" spans="1:11" x14ac:dyDescent="0.25">
      <c r="A206" s="19"/>
      <c r="B206" s="21"/>
      <c r="C206" s="18"/>
      <c r="D206" s="19"/>
      <c r="E206" s="21"/>
      <c r="F206" s="18"/>
      <c r="G206" s="18"/>
      <c r="H206" s="17"/>
      <c r="I206" s="17"/>
      <c r="J206" s="19"/>
      <c r="K206" s="23" t="str">
        <f>IF(A206="","",IF(G206&lt;&gt;"","Resolvida",IF(F206&lt;DataRef,"Vencida","No prazo")))</f>
        <v/>
      </c>
    </row>
    <row r="207" spans="1:11" x14ac:dyDescent="0.25">
      <c r="A207" s="19"/>
      <c r="B207" s="21"/>
      <c r="C207" s="18"/>
      <c r="D207" s="19"/>
      <c r="E207" s="21"/>
      <c r="F207" s="18"/>
      <c r="G207" s="18"/>
      <c r="H207" s="17"/>
      <c r="I207" s="17"/>
      <c r="J207" s="19"/>
      <c r="K207" s="23" t="str">
        <f>IF(A207="","",IF(G207&lt;&gt;"","Resolvida",IF(F207&lt;DataRef,"Vencida","No prazo")))</f>
        <v/>
      </c>
    </row>
    <row r="208" spans="1:11" x14ac:dyDescent="0.25">
      <c r="A208" s="19"/>
      <c r="B208" s="21"/>
      <c r="C208" s="18"/>
      <c r="D208" s="19"/>
      <c r="E208" s="21"/>
      <c r="F208" s="18"/>
      <c r="G208" s="18"/>
      <c r="H208" s="17"/>
      <c r="I208" s="17"/>
      <c r="J208" s="19"/>
      <c r="K208" s="23" t="str">
        <f>IF(A208="","",IF(G208&lt;&gt;"","Resolvida",IF(F208&lt;DataRef,"Vencida","No prazo")))</f>
        <v/>
      </c>
    </row>
    <row r="209" spans="1:11" x14ac:dyDescent="0.25">
      <c r="A209" s="19"/>
      <c r="B209" s="21"/>
      <c r="C209" s="18"/>
      <c r="D209" s="19"/>
      <c r="E209" s="21"/>
      <c r="F209" s="18"/>
      <c r="G209" s="18"/>
      <c r="H209" s="17"/>
      <c r="I209" s="17"/>
      <c r="J209" s="19"/>
      <c r="K209" s="23" t="str">
        <f>IF(A209="","",IF(G209&lt;&gt;"","Resolvida",IF(F209&lt;DataRef,"Vencida","No prazo")))</f>
        <v/>
      </c>
    </row>
    <row r="210" spans="1:11" x14ac:dyDescent="0.25">
      <c r="A210" s="19"/>
      <c r="B210" s="21"/>
      <c r="C210" s="18"/>
      <c r="D210" s="19"/>
      <c r="E210" s="21"/>
      <c r="F210" s="18"/>
      <c r="G210" s="18"/>
      <c r="H210" s="17"/>
      <c r="I210" s="17"/>
      <c r="J210" s="19"/>
      <c r="K210" s="23" t="str">
        <f>IF(A210="","",IF(G210&lt;&gt;"","Resolvida",IF(F210&lt;DataRef,"Vencida","No prazo")))</f>
        <v/>
      </c>
    </row>
    <row r="211" spans="1:11" x14ac:dyDescent="0.25">
      <c r="A211" s="19"/>
      <c r="B211" s="21"/>
      <c r="C211" s="18"/>
      <c r="D211" s="19"/>
      <c r="E211" s="21"/>
      <c r="F211" s="18"/>
      <c r="G211" s="18"/>
      <c r="H211" s="17"/>
      <c r="I211" s="17"/>
      <c r="J211" s="19"/>
      <c r="K211" s="23" t="str">
        <f>IF(A211="","",IF(G211&lt;&gt;"","Resolvida",IF(F211&lt;DataRef,"Vencida","No prazo")))</f>
        <v/>
      </c>
    </row>
    <row r="212" spans="1:11" x14ac:dyDescent="0.25">
      <c r="A212" s="19"/>
      <c r="B212" s="21"/>
      <c r="C212" s="18"/>
      <c r="D212" s="19"/>
      <c r="E212" s="21"/>
      <c r="F212" s="18"/>
      <c r="G212" s="18"/>
      <c r="H212" s="17"/>
      <c r="I212" s="17"/>
      <c r="J212" s="19"/>
      <c r="K212" s="23" t="str">
        <f>IF(A212="","",IF(G212&lt;&gt;"","Resolvida",IF(F212&lt;DataRef,"Vencida","No prazo")))</f>
        <v/>
      </c>
    </row>
    <row r="213" spans="1:11" x14ac:dyDescent="0.25">
      <c r="A213" s="19"/>
      <c r="B213" s="21"/>
      <c r="C213" s="18"/>
      <c r="D213" s="19"/>
      <c r="E213" s="21"/>
      <c r="F213" s="18"/>
      <c r="G213" s="18"/>
      <c r="H213" s="17"/>
      <c r="I213" s="17"/>
      <c r="J213" s="19"/>
      <c r="K213" s="23" t="str">
        <f>IF(A213="","",IF(G213&lt;&gt;"","Resolvida",IF(F213&lt;DataRef,"Vencida","No prazo")))</f>
        <v/>
      </c>
    </row>
    <row r="214" spans="1:11" x14ac:dyDescent="0.25">
      <c r="A214" s="19"/>
      <c r="B214" s="21"/>
      <c r="C214" s="18"/>
      <c r="D214" s="19"/>
      <c r="E214" s="21"/>
      <c r="F214" s="18"/>
      <c r="G214" s="18"/>
      <c r="H214" s="17"/>
      <c r="I214" s="17"/>
      <c r="J214" s="19"/>
      <c r="K214" s="23" t="str">
        <f>IF(A214="","",IF(G214&lt;&gt;"","Resolvida",IF(F214&lt;DataRef,"Vencida","No prazo")))</f>
        <v/>
      </c>
    </row>
    <row r="215" spans="1:11" x14ac:dyDescent="0.25">
      <c r="A215" s="19"/>
      <c r="B215" s="21"/>
      <c r="C215" s="18"/>
      <c r="D215" s="19"/>
      <c r="E215" s="21"/>
      <c r="F215" s="18"/>
      <c r="G215" s="18"/>
      <c r="H215" s="17"/>
      <c r="I215" s="17"/>
      <c r="J215" s="19"/>
      <c r="K215" s="23" t="str">
        <f>IF(A215="","",IF(G215&lt;&gt;"","Resolvida",IF(F215&lt;DataRef,"Vencida","No prazo")))</f>
        <v/>
      </c>
    </row>
    <row r="216" spans="1:11" x14ac:dyDescent="0.25">
      <c r="A216" s="19"/>
      <c r="B216" s="21"/>
      <c r="C216" s="18"/>
      <c r="D216" s="19"/>
      <c r="E216" s="21"/>
      <c r="F216" s="18"/>
      <c r="G216" s="18"/>
      <c r="H216" s="17"/>
      <c r="I216" s="17"/>
      <c r="J216" s="19"/>
      <c r="K216" s="23" t="str">
        <f>IF(A216="","",IF(G216&lt;&gt;"","Resolvida",IF(F216&lt;DataRef,"Vencida","No prazo")))</f>
        <v/>
      </c>
    </row>
    <row r="217" spans="1:11" x14ac:dyDescent="0.25">
      <c r="A217" s="19"/>
      <c r="B217" s="21"/>
      <c r="C217" s="18"/>
      <c r="D217" s="19"/>
      <c r="E217" s="21"/>
      <c r="F217" s="18"/>
      <c r="G217" s="18"/>
      <c r="H217" s="17"/>
      <c r="I217" s="17"/>
      <c r="J217" s="19"/>
      <c r="K217" s="23" t="str">
        <f>IF(A217="","",IF(G217&lt;&gt;"","Resolvida",IF(F217&lt;DataRef,"Vencida","No prazo")))</f>
        <v/>
      </c>
    </row>
    <row r="218" spans="1:11" x14ac:dyDescent="0.25">
      <c r="A218" s="19"/>
      <c r="B218" s="21"/>
      <c r="C218" s="18"/>
      <c r="D218" s="19"/>
      <c r="E218" s="21"/>
      <c r="F218" s="18"/>
      <c r="G218" s="18"/>
      <c r="H218" s="17"/>
      <c r="I218" s="17"/>
      <c r="J218" s="19"/>
      <c r="K218" s="23" t="str">
        <f>IF(A218="","",IF(G218&lt;&gt;"","Resolvida",IF(F218&lt;DataRef,"Vencida","No prazo")))</f>
        <v/>
      </c>
    </row>
    <row r="219" spans="1:11" x14ac:dyDescent="0.25">
      <c r="A219" s="19"/>
      <c r="B219" s="21"/>
      <c r="C219" s="18"/>
      <c r="D219" s="19"/>
      <c r="E219" s="21"/>
      <c r="F219" s="18"/>
      <c r="G219" s="18"/>
      <c r="H219" s="17"/>
      <c r="I219" s="17"/>
      <c r="J219" s="19"/>
      <c r="K219" s="23" t="str">
        <f>IF(A219="","",IF(G219&lt;&gt;"","Resolvida",IF(F219&lt;DataRef,"Vencida","No prazo")))</f>
        <v/>
      </c>
    </row>
    <row r="220" spans="1:11" x14ac:dyDescent="0.25">
      <c r="A220" s="19"/>
      <c r="B220" s="21"/>
      <c r="C220" s="18"/>
      <c r="D220" s="19"/>
      <c r="E220" s="21"/>
      <c r="F220" s="18"/>
      <c r="G220" s="18"/>
      <c r="H220" s="17"/>
      <c r="I220" s="17"/>
      <c r="J220" s="19"/>
      <c r="K220" s="23" t="str">
        <f>IF(A220="","",IF(G220&lt;&gt;"","Resolvida",IF(F220&lt;DataRef,"Vencida","No prazo")))</f>
        <v/>
      </c>
    </row>
    <row r="221" spans="1:11" x14ac:dyDescent="0.25">
      <c r="A221" s="19"/>
      <c r="B221" s="21"/>
      <c r="C221" s="18"/>
      <c r="D221" s="19"/>
      <c r="E221" s="21"/>
      <c r="F221" s="18"/>
      <c r="G221" s="18"/>
      <c r="H221" s="17"/>
      <c r="I221" s="17"/>
      <c r="J221" s="19"/>
      <c r="K221" s="23" t="str">
        <f>IF(A221="","",IF(G221&lt;&gt;"","Resolvida",IF(F221&lt;DataRef,"Vencida","No prazo")))</f>
        <v/>
      </c>
    </row>
    <row r="222" spans="1:11" x14ac:dyDescent="0.25">
      <c r="A222" s="19"/>
      <c r="B222" s="21"/>
      <c r="C222" s="18"/>
      <c r="D222" s="19"/>
      <c r="E222" s="21"/>
      <c r="F222" s="18"/>
      <c r="G222" s="18"/>
      <c r="H222" s="17"/>
      <c r="I222" s="17"/>
      <c r="J222" s="19"/>
      <c r="K222" s="23" t="str">
        <f>IF(A222="","",IF(G222&lt;&gt;"","Resolvida",IF(F222&lt;DataRef,"Vencida","No prazo")))</f>
        <v/>
      </c>
    </row>
    <row r="223" spans="1:11" x14ac:dyDescent="0.25">
      <c r="A223" s="19"/>
      <c r="B223" s="21"/>
      <c r="C223" s="18"/>
      <c r="D223" s="19"/>
      <c r="E223" s="21"/>
      <c r="F223" s="18"/>
      <c r="G223" s="18"/>
      <c r="H223" s="17"/>
      <c r="I223" s="17"/>
      <c r="J223" s="19"/>
      <c r="K223" s="23" t="str">
        <f>IF(A223="","",IF(G223&lt;&gt;"","Resolvida",IF(F223&lt;DataRef,"Vencida","No prazo")))</f>
        <v/>
      </c>
    </row>
    <row r="224" spans="1:11" x14ac:dyDescent="0.25">
      <c r="A224" s="19"/>
      <c r="B224" s="21"/>
      <c r="C224" s="18"/>
      <c r="D224" s="19"/>
      <c r="E224" s="21"/>
      <c r="F224" s="18"/>
      <c r="G224" s="18"/>
      <c r="H224" s="17"/>
      <c r="I224" s="17"/>
      <c r="J224" s="19"/>
      <c r="K224" s="23" t="str">
        <f>IF(A224="","",IF(G224&lt;&gt;"","Resolvida",IF(F224&lt;DataRef,"Vencida","No prazo")))</f>
        <v/>
      </c>
    </row>
    <row r="225" spans="1:11" x14ac:dyDescent="0.25">
      <c r="A225" s="19"/>
      <c r="B225" s="21"/>
      <c r="C225" s="18"/>
      <c r="D225" s="19"/>
      <c r="E225" s="21"/>
      <c r="F225" s="18"/>
      <c r="G225" s="18"/>
      <c r="H225" s="17"/>
      <c r="I225" s="17"/>
      <c r="J225" s="19"/>
      <c r="K225" s="23" t="str">
        <f>IF(A225="","",IF(G225&lt;&gt;"","Resolvida",IF(F225&lt;DataRef,"Vencida","No prazo")))</f>
        <v/>
      </c>
    </row>
    <row r="226" spans="1:11" x14ac:dyDescent="0.25">
      <c r="A226" s="19"/>
      <c r="B226" s="21"/>
      <c r="C226" s="18"/>
      <c r="D226" s="19"/>
      <c r="E226" s="21"/>
      <c r="F226" s="18"/>
      <c r="G226" s="18"/>
      <c r="H226" s="17"/>
      <c r="I226" s="17"/>
      <c r="J226" s="19"/>
      <c r="K226" s="23" t="str">
        <f>IF(A226="","",IF(G226&lt;&gt;"","Resolvida",IF(F226&lt;DataRef,"Vencida","No prazo")))</f>
        <v/>
      </c>
    </row>
    <row r="227" spans="1:11" x14ac:dyDescent="0.25">
      <c r="A227" s="19"/>
      <c r="B227" s="21"/>
      <c r="C227" s="18"/>
      <c r="D227" s="19"/>
      <c r="E227" s="21"/>
      <c r="F227" s="18"/>
      <c r="G227" s="18"/>
      <c r="H227" s="17"/>
      <c r="I227" s="17"/>
      <c r="J227" s="19"/>
      <c r="K227" s="23" t="str">
        <f>IF(A227="","",IF(G227&lt;&gt;"","Resolvida",IF(F227&lt;DataRef,"Vencida","No prazo")))</f>
        <v/>
      </c>
    </row>
    <row r="228" spans="1:11" x14ac:dyDescent="0.25">
      <c r="A228" s="19"/>
      <c r="B228" s="21"/>
      <c r="C228" s="18"/>
      <c r="D228" s="19"/>
      <c r="E228" s="21"/>
      <c r="F228" s="18"/>
      <c r="G228" s="18"/>
      <c r="H228" s="17"/>
      <c r="I228" s="17"/>
      <c r="J228" s="19"/>
      <c r="K228" s="23" t="str">
        <f>IF(A228="","",IF(G228&lt;&gt;"","Resolvida",IF(F228&lt;DataRef,"Vencida","No prazo")))</f>
        <v/>
      </c>
    </row>
    <row r="229" spans="1:11" x14ac:dyDescent="0.25">
      <c r="A229" s="19"/>
      <c r="B229" s="21"/>
      <c r="C229" s="18"/>
      <c r="D229" s="19"/>
      <c r="E229" s="21"/>
      <c r="F229" s="18"/>
      <c r="G229" s="18"/>
      <c r="H229" s="17"/>
      <c r="I229" s="17"/>
      <c r="J229" s="19"/>
      <c r="K229" s="23" t="str">
        <f>IF(A229="","",IF(G229&lt;&gt;"","Resolvida",IF(F229&lt;DataRef,"Vencida","No prazo")))</f>
        <v/>
      </c>
    </row>
    <row r="230" spans="1:11" x14ac:dyDescent="0.25">
      <c r="A230" s="19"/>
      <c r="B230" s="21"/>
      <c r="C230" s="18"/>
      <c r="D230" s="19"/>
      <c r="E230" s="21"/>
      <c r="F230" s="18"/>
      <c r="G230" s="18"/>
      <c r="H230" s="17"/>
      <c r="I230" s="17"/>
      <c r="J230" s="19"/>
      <c r="K230" s="23" t="str">
        <f>IF(A230="","",IF(G230&lt;&gt;"","Resolvida",IF(F230&lt;DataRef,"Vencida","No prazo")))</f>
        <v/>
      </c>
    </row>
    <row r="231" spans="1:11" x14ac:dyDescent="0.25">
      <c r="A231" s="19"/>
      <c r="B231" s="21"/>
      <c r="C231" s="18"/>
      <c r="D231" s="19"/>
      <c r="E231" s="21"/>
      <c r="F231" s="18"/>
      <c r="G231" s="18"/>
      <c r="H231" s="17"/>
      <c r="I231" s="17"/>
      <c r="J231" s="19"/>
      <c r="K231" s="23" t="str">
        <f>IF(A231="","",IF(G231&lt;&gt;"","Resolvida",IF(F231&lt;DataRef,"Vencida","No prazo")))</f>
        <v/>
      </c>
    </row>
    <row r="232" spans="1:11" x14ac:dyDescent="0.25">
      <c r="A232" s="19"/>
      <c r="B232" s="21"/>
      <c r="C232" s="18"/>
      <c r="D232" s="19"/>
      <c r="E232" s="21"/>
      <c r="F232" s="18"/>
      <c r="G232" s="18"/>
      <c r="H232" s="17"/>
      <c r="I232" s="17"/>
      <c r="J232" s="19"/>
      <c r="K232" s="23" t="str">
        <f>IF(A232="","",IF(G232&lt;&gt;"","Resolvida",IF(F232&lt;DataRef,"Vencida","No prazo")))</f>
        <v/>
      </c>
    </row>
    <row r="233" spans="1:11" x14ac:dyDescent="0.25">
      <c r="A233" s="19"/>
      <c r="B233" s="21"/>
      <c r="C233" s="18"/>
      <c r="D233" s="19"/>
      <c r="E233" s="21"/>
      <c r="F233" s="18"/>
      <c r="G233" s="18"/>
      <c r="H233" s="17"/>
      <c r="I233" s="17"/>
      <c r="J233" s="19"/>
      <c r="K233" s="23" t="str">
        <f>IF(A233="","",IF(G233&lt;&gt;"","Resolvida",IF(F233&lt;DataRef,"Vencida","No prazo")))</f>
        <v/>
      </c>
    </row>
    <row r="234" spans="1:11" x14ac:dyDescent="0.25">
      <c r="A234" s="19"/>
      <c r="B234" s="21"/>
      <c r="C234" s="18"/>
      <c r="D234" s="19"/>
      <c r="E234" s="21"/>
      <c r="F234" s="18"/>
      <c r="G234" s="18"/>
      <c r="H234" s="17"/>
      <c r="I234" s="17"/>
      <c r="J234" s="19"/>
      <c r="K234" s="23" t="str">
        <f>IF(A234="","",IF(G234&lt;&gt;"","Resolvida",IF(F234&lt;DataRef,"Vencida","No prazo")))</f>
        <v/>
      </c>
    </row>
    <row r="235" spans="1:11" x14ac:dyDescent="0.25">
      <c r="A235" s="19"/>
      <c r="B235" s="21"/>
      <c r="C235" s="18"/>
      <c r="D235" s="19"/>
      <c r="E235" s="21"/>
      <c r="F235" s="18"/>
      <c r="G235" s="18"/>
      <c r="H235" s="17"/>
      <c r="I235" s="17"/>
      <c r="J235" s="19"/>
      <c r="K235" s="23" t="str">
        <f>IF(A235="","",IF(G235&lt;&gt;"","Resolvida",IF(F235&lt;DataRef,"Vencida","No prazo")))</f>
        <v/>
      </c>
    </row>
    <row r="236" spans="1:11" x14ac:dyDescent="0.25">
      <c r="A236" s="19"/>
      <c r="B236" s="21"/>
      <c r="C236" s="18"/>
      <c r="D236" s="19"/>
      <c r="E236" s="21"/>
      <c r="F236" s="18"/>
      <c r="G236" s="18"/>
      <c r="H236" s="17"/>
      <c r="I236" s="17"/>
      <c r="J236" s="19"/>
      <c r="K236" s="23" t="str">
        <f>IF(A236="","",IF(G236&lt;&gt;"","Resolvida",IF(F236&lt;DataRef,"Vencida","No prazo")))</f>
        <v/>
      </c>
    </row>
    <row r="237" spans="1:11" x14ac:dyDescent="0.25">
      <c r="A237" s="19"/>
      <c r="B237" s="21"/>
      <c r="C237" s="18"/>
      <c r="D237" s="19"/>
      <c r="E237" s="21"/>
      <c r="F237" s="18"/>
      <c r="G237" s="18"/>
      <c r="H237" s="17"/>
      <c r="I237" s="17"/>
      <c r="J237" s="19"/>
      <c r="K237" s="23" t="str">
        <f>IF(A237="","",IF(G237&lt;&gt;"","Resolvida",IF(F237&lt;DataRef,"Vencida","No prazo")))</f>
        <v/>
      </c>
    </row>
    <row r="238" spans="1:11" x14ac:dyDescent="0.25">
      <c r="A238" s="19"/>
      <c r="B238" s="21"/>
      <c r="C238" s="18"/>
      <c r="D238" s="19"/>
      <c r="E238" s="21"/>
      <c r="F238" s="18"/>
      <c r="G238" s="18"/>
      <c r="H238" s="17"/>
      <c r="I238" s="17"/>
      <c r="J238" s="19"/>
      <c r="K238" s="23" t="str">
        <f>IF(A238="","",IF(G238&lt;&gt;"","Resolvida",IF(F238&lt;DataRef,"Vencida","No prazo")))</f>
        <v/>
      </c>
    </row>
    <row r="239" spans="1:11" x14ac:dyDescent="0.25">
      <c r="A239" s="19"/>
      <c r="B239" s="21"/>
      <c r="C239" s="18"/>
      <c r="D239" s="19"/>
      <c r="E239" s="21"/>
      <c r="F239" s="18"/>
      <c r="G239" s="18"/>
      <c r="H239" s="17"/>
      <c r="I239" s="17"/>
      <c r="J239" s="19"/>
      <c r="K239" s="23" t="str">
        <f>IF(A239="","",IF(G239&lt;&gt;"","Resolvida",IF(F239&lt;DataRef,"Vencida","No prazo")))</f>
        <v/>
      </c>
    </row>
    <row r="240" spans="1:11" x14ac:dyDescent="0.25">
      <c r="A240" s="19"/>
      <c r="B240" s="21"/>
      <c r="C240" s="18"/>
      <c r="D240" s="19"/>
      <c r="E240" s="21"/>
      <c r="F240" s="18"/>
      <c r="G240" s="18"/>
      <c r="H240" s="17"/>
      <c r="I240" s="17"/>
      <c r="J240" s="19"/>
      <c r="K240" s="23" t="str">
        <f>IF(A240="","",IF(G240&lt;&gt;"","Resolvida",IF(F240&lt;DataRef,"Vencida","No prazo")))</f>
        <v/>
      </c>
    </row>
    <row r="241" spans="1:11" x14ac:dyDescent="0.25">
      <c r="A241" s="19"/>
      <c r="B241" s="21"/>
      <c r="C241" s="18"/>
      <c r="D241" s="19"/>
      <c r="E241" s="21"/>
      <c r="F241" s="18"/>
      <c r="G241" s="18"/>
      <c r="H241" s="17"/>
      <c r="I241" s="17"/>
      <c r="J241" s="19"/>
      <c r="K241" s="23" t="str">
        <f>IF(A241="","",IF(G241&lt;&gt;"","Resolvida",IF(F241&lt;DataRef,"Vencida","No prazo")))</f>
        <v/>
      </c>
    </row>
    <row r="242" spans="1:11" x14ac:dyDescent="0.25">
      <c r="A242" s="19"/>
      <c r="B242" s="21"/>
      <c r="C242" s="18"/>
      <c r="D242" s="19"/>
      <c r="E242" s="21"/>
      <c r="F242" s="18"/>
      <c r="G242" s="18"/>
      <c r="H242" s="17"/>
      <c r="I242" s="17"/>
      <c r="J242" s="19"/>
      <c r="K242" s="23" t="str">
        <f>IF(A242="","",IF(G242&lt;&gt;"","Resolvida",IF(F242&lt;DataRef,"Vencida","No prazo")))</f>
        <v/>
      </c>
    </row>
    <row r="243" spans="1:11" x14ac:dyDescent="0.25">
      <c r="A243" s="19"/>
      <c r="B243" s="21"/>
      <c r="C243" s="18"/>
      <c r="D243" s="19"/>
      <c r="E243" s="21"/>
      <c r="F243" s="18"/>
      <c r="G243" s="18"/>
      <c r="H243" s="17"/>
      <c r="I243" s="17"/>
      <c r="J243" s="19"/>
      <c r="K243" s="23" t="str">
        <f>IF(A243="","",IF(G243&lt;&gt;"","Resolvida",IF(F243&lt;DataRef,"Vencida","No prazo")))</f>
        <v/>
      </c>
    </row>
    <row r="244" spans="1:11" x14ac:dyDescent="0.25">
      <c r="A244" s="19"/>
      <c r="B244" s="21"/>
      <c r="C244" s="18"/>
      <c r="D244" s="19"/>
      <c r="E244" s="21"/>
      <c r="F244" s="18"/>
      <c r="G244" s="18"/>
      <c r="H244" s="17"/>
      <c r="I244" s="17"/>
      <c r="J244" s="19"/>
      <c r="K244" s="23" t="str">
        <f>IF(A244="","",IF(G244&lt;&gt;"","Resolvida",IF(F244&lt;DataRef,"Vencida","No prazo")))</f>
        <v/>
      </c>
    </row>
    <row r="245" spans="1:11" x14ac:dyDescent="0.25">
      <c r="A245" s="19"/>
      <c r="B245" s="21"/>
      <c r="C245" s="18"/>
      <c r="D245" s="19"/>
      <c r="E245" s="21"/>
      <c r="F245" s="18"/>
      <c r="G245" s="18"/>
      <c r="H245" s="17"/>
      <c r="I245" s="17"/>
      <c r="J245" s="19"/>
      <c r="K245" s="23" t="str">
        <f>IF(A245="","",IF(G245&lt;&gt;"","Resolvida",IF(F245&lt;DataRef,"Vencida","No prazo")))</f>
        <v/>
      </c>
    </row>
    <row r="246" spans="1:11" x14ac:dyDescent="0.25">
      <c r="A246" s="19"/>
      <c r="B246" s="21"/>
      <c r="C246" s="18"/>
      <c r="D246" s="19"/>
      <c r="E246" s="21"/>
      <c r="F246" s="18"/>
      <c r="G246" s="18"/>
      <c r="H246" s="17"/>
      <c r="I246" s="17"/>
      <c r="J246" s="19"/>
      <c r="K246" s="23" t="str">
        <f>IF(A246="","",IF(G246&lt;&gt;"","Resolvida",IF(F246&lt;DataRef,"Vencida","No prazo")))</f>
        <v/>
      </c>
    </row>
    <row r="247" spans="1:11" x14ac:dyDescent="0.25">
      <c r="A247" s="19"/>
      <c r="B247" s="21"/>
      <c r="C247" s="18"/>
      <c r="D247" s="19"/>
      <c r="E247" s="21"/>
      <c r="F247" s="18"/>
      <c r="G247" s="18"/>
      <c r="H247" s="17"/>
      <c r="I247" s="17"/>
      <c r="J247" s="19"/>
      <c r="K247" s="23" t="str">
        <f>IF(A247="","",IF(G247&lt;&gt;"","Resolvida",IF(F247&lt;DataRef,"Vencida","No prazo")))</f>
        <v/>
      </c>
    </row>
    <row r="248" spans="1:11" x14ac:dyDescent="0.25">
      <c r="A248" s="19"/>
      <c r="B248" s="21"/>
      <c r="C248" s="18"/>
      <c r="D248" s="19"/>
      <c r="E248" s="21"/>
      <c r="F248" s="18"/>
      <c r="G248" s="18"/>
      <c r="H248" s="17"/>
      <c r="I248" s="17"/>
      <c r="J248" s="19"/>
      <c r="K248" s="23" t="str">
        <f>IF(A248="","",IF(G248&lt;&gt;"","Resolvida",IF(F248&lt;DataRef,"Vencida","No prazo")))</f>
        <v/>
      </c>
    </row>
    <row r="249" spans="1:11" x14ac:dyDescent="0.25">
      <c r="A249" s="19"/>
      <c r="B249" s="21"/>
      <c r="C249" s="18"/>
      <c r="D249" s="19"/>
      <c r="E249" s="21"/>
      <c r="F249" s="18"/>
      <c r="G249" s="18"/>
      <c r="H249" s="17"/>
      <c r="I249" s="17"/>
      <c r="J249" s="19"/>
      <c r="K249" s="23" t="str">
        <f>IF(A249="","",IF(G249&lt;&gt;"","Resolvida",IF(F249&lt;DataRef,"Vencida","No prazo")))</f>
        <v/>
      </c>
    </row>
    <row r="250" spans="1:11" x14ac:dyDescent="0.25">
      <c r="A250" s="19"/>
      <c r="B250" s="21"/>
      <c r="C250" s="18"/>
      <c r="D250" s="19"/>
      <c r="E250" s="21"/>
      <c r="F250" s="18"/>
      <c r="G250" s="18"/>
      <c r="H250" s="17"/>
      <c r="I250" s="17"/>
      <c r="J250" s="19"/>
      <c r="K250" s="23" t="str">
        <f>IF(A250="","",IF(G250&lt;&gt;"","Resolvida",IF(F250&lt;DataRef,"Vencida","No prazo")))</f>
        <v/>
      </c>
    </row>
    <row r="251" spans="1:11" x14ac:dyDescent="0.25">
      <c r="A251" s="19"/>
      <c r="B251" s="21"/>
      <c r="C251" s="18"/>
      <c r="D251" s="19"/>
      <c r="E251" s="21"/>
      <c r="F251" s="18"/>
      <c r="G251" s="18"/>
      <c r="H251" s="17"/>
      <c r="I251" s="17"/>
      <c r="J251" s="19"/>
      <c r="K251" s="23" t="str">
        <f>IF(A251="","",IF(G251&lt;&gt;"","Resolvida",IF(F251&lt;DataRef,"Vencida","No prazo")))</f>
        <v/>
      </c>
    </row>
    <row r="252" spans="1:11" x14ac:dyDescent="0.25">
      <c r="A252" s="19"/>
      <c r="B252" s="21"/>
      <c r="C252" s="18"/>
      <c r="D252" s="19"/>
      <c r="E252" s="21"/>
      <c r="F252" s="18"/>
      <c r="G252" s="18"/>
      <c r="H252" s="17"/>
      <c r="I252" s="17"/>
      <c r="J252" s="19"/>
      <c r="K252" s="23" t="str">
        <f>IF(A252="","",IF(G252&lt;&gt;"","Resolvida",IF(F252&lt;DataRef,"Vencida","No prazo")))</f>
        <v/>
      </c>
    </row>
    <row r="253" spans="1:11" x14ac:dyDescent="0.25">
      <c r="A253" s="19"/>
      <c r="B253" s="21"/>
      <c r="C253" s="18"/>
      <c r="D253" s="19"/>
      <c r="E253" s="21"/>
      <c r="F253" s="18"/>
      <c r="G253" s="18"/>
      <c r="H253" s="17"/>
      <c r="I253" s="17"/>
      <c r="J253" s="19"/>
      <c r="K253" s="23" t="str">
        <f>IF(A253="","",IF(G253&lt;&gt;"","Resolvida",IF(F253&lt;DataRef,"Vencida","No prazo")))</f>
        <v/>
      </c>
    </row>
    <row r="254" spans="1:11" x14ac:dyDescent="0.25">
      <c r="A254" s="19"/>
      <c r="B254" s="21"/>
      <c r="C254" s="18"/>
      <c r="D254" s="19"/>
      <c r="E254" s="21"/>
      <c r="F254" s="18"/>
      <c r="G254" s="18"/>
      <c r="H254" s="17"/>
      <c r="I254" s="17"/>
      <c r="J254" s="19"/>
      <c r="K254" s="23" t="str">
        <f>IF(A254="","",IF(G254&lt;&gt;"","Resolvida",IF(F254&lt;DataRef,"Vencida","No prazo")))</f>
        <v/>
      </c>
    </row>
    <row r="255" spans="1:11" x14ac:dyDescent="0.25">
      <c r="A255" s="19"/>
      <c r="B255" s="21"/>
      <c r="C255" s="18"/>
      <c r="D255" s="19"/>
      <c r="E255" s="21"/>
      <c r="F255" s="18"/>
      <c r="G255" s="18"/>
      <c r="H255" s="17"/>
      <c r="I255" s="17"/>
      <c r="J255" s="19"/>
      <c r="K255" s="23" t="str">
        <f>IF(A255="","",IF(G255&lt;&gt;"","Resolvida",IF(F255&lt;DataRef,"Vencida","No prazo")))</f>
        <v/>
      </c>
    </row>
    <row r="256" spans="1:11" x14ac:dyDescent="0.25">
      <c r="A256" s="19"/>
      <c r="B256" s="21"/>
      <c r="C256" s="18"/>
      <c r="D256" s="19"/>
      <c r="E256" s="21"/>
      <c r="F256" s="18"/>
      <c r="G256" s="18"/>
      <c r="H256" s="17"/>
      <c r="I256" s="17"/>
      <c r="J256" s="19"/>
      <c r="K256" s="23" t="str">
        <f>IF(A256="","",IF(G256&lt;&gt;"","Resolvida",IF(F256&lt;DataRef,"Vencida","No prazo")))</f>
        <v/>
      </c>
    </row>
    <row r="257" spans="1:11" x14ac:dyDescent="0.25">
      <c r="A257" s="19"/>
      <c r="B257" s="21"/>
      <c r="C257" s="18"/>
      <c r="D257" s="19"/>
      <c r="E257" s="21"/>
      <c r="F257" s="18"/>
      <c r="G257" s="18"/>
      <c r="H257" s="17"/>
      <c r="I257" s="17"/>
      <c r="J257" s="19"/>
      <c r="K257" s="23" t="str">
        <f>IF(A257="","",IF(G257&lt;&gt;"","Resolvida",IF(F257&lt;DataRef,"Vencida","No prazo")))</f>
        <v/>
      </c>
    </row>
    <row r="258" spans="1:11" x14ac:dyDescent="0.25">
      <c r="A258" s="19"/>
      <c r="B258" s="21"/>
      <c r="C258" s="18"/>
      <c r="D258" s="19"/>
      <c r="E258" s="21"/>
      <c r="F258" s="18"/>
      <c r="G258" s="18"/>
      <c r="H258" s="17"/>
      <c r="I258" s="17"/>
      <c r="J258" s="19"/>
      <c r="K258" s="23" t="str">
        <f>IF(A258="","",IF(G258&lt;&gt;"","Resolvida",IF(F258&lt;DataRef,"Vencida","No prazo")))</f>
        <v/>
      </c>
    </row>
    <row r="259" spans="1:11" x14ac:dyDescent="0.25">
      <c r="A259" s="19"/>
      <c r="B259" s="21"/>
      <c r="C259" s="18"/>
      <c r="D259" s="19"/>
      <c r="E259" s="21"/>
      <c r="F259" s="18"/>
      <c r="G259" s="18"/>
      <c r="H259" s="17"/>
      <c r="I259" s="17"/>
      <c r="J259" s="19"/>
      <c r="K259" s="23" t="str">
        <f>IF(A259="","",IF(G259&lt;&gt;"","Resolvida",IF(F259&lt;DataRef,"Vencida","No prazo")))</f>
        <v/>
      </c>
    </row>
    <row r="260" spans="1:11" x14ac:dyDescent="0.25">
      <c r="A260" s="19"/>
      <c r="B260" s="21"/>
      <c r="C260" s="18"/>
      <c r="D260" s="19"/>
      <c r="E260" s="21"/>
      <c r="F260" s="18"/>
      <c r="G260" s="18"/>
      <c r="H260" s="17"/>
      <c r="I260" s="17"/>
      <c r="J260" s="19"/>
      <c r="K260" s="23" t="str">
        <f>IF(A260="","",IF(G260&lt;&gt;"","Resolvida",IF(F260&lt;DataRef,"Vencida","No prazo")))</f>
        <v/>
      </c>
    </row>
    <row r="261" spans="1:11" x14ac:dyDescent="0.25">
      <c r="A261" s="19"/>
      <c r="B261" s="21"/>
      <c r="C261" s="18"/>
      <c r="D261" s="19"/>
      <c r="E261" s="21"/>
      <c r="F261" s="18"/>
      <c r="G261" s="18"/>
      <c r="H261" s="17"/>
      <c r="I261" s="17"/>
      <c r="J261" s="19"/>
      <c r="K261" s="23" t="str">
        <f>IF(A261="","",IF(G261&lt;&gt;"","Resolvida",IF(F261&lt;DataRef,"Vencida","No prazo")))</f>
        <v/>
      </c>
    </row>
    <row r="262" spans="1:11" x14ac:dyDescent="0.25">
      <c r="A262" s="19"/>
      <c r="B262" s="21"/>
      <c r="C262" s="18"/>
      <c r="D262" s="19"/>
      <c r="E262" s="21"/>
      <c r="F262" s="18"/>
      <c r="G262" s="18"/>
      <c r="H262" s="17"/>
      <c r="I262" s="17"/>
      <c r="J262" s="19"/>
      <c r="K262" s="23" t="str">
        <f>IF(A262="","",IF(G262&lt;&gt;"","Resolvida",IF(F262&lt;DataRef,"Vencida","No prazo")))</f>
        <v/>
      </c>
    </row>
    <row r="263" spans="1:11" x14ac:dyDescent="0.25">
      <c r="A263" s="19"/>
      <c r="B263" s="21"/>
      <c r="C263" s="18"/>
      <c r="D263" s="19"/>
      <c r="E263" s="21"/>
      <c r="F263" s="18"/>
      <c r="G263" s="18"/>
      <c r="H263" s="17"/>
      <c r="I263" s="17"/>
      <c r="J263" s="19"/>
      <c r="K263" s="23" t="str">
        <f>IF(A263="","",IF(G263&lt;&gt;"","Resolvida",IF(F263&lt;DataRef,"Vencida","No prazo")))</f>
        <v/>
      </c>
    </row>
    <row r="264" spans="1:11" x14ac:dyDescent="0.25">
      <c r="A264" s="19"/>
      <c r="B264" s="21"/>
      <c r="C264" s="18"/>
      <c r="D264" s="19"/>
      <c r="E264" s="21"/>
      <c r="F264" s="18"/>
      <c r="G264" s="18"/>
      <c r="H264" s="17"/>
      <c r="I264" s="17"/>
      <c r="J264" s="19"/>
      <c r="K264" s="23" t="str">
        <f>IF(A264="","",IF(G264&lt;&gt;"","Resolvida",IF(F264&lt;DataRef,"Vencida","No prazo")))</f>
        <v/>
      </c>
    </row>
    <row r="265" spans="1:11" x14ac:dyDescent="0.25">
      <c r="A265" s="19"/>
      <c r="B265" s="21"/>
      <c r="C265" s="18"/>
      <c r="D265" s="19"/>
      <c r="E265" s="21"/>
      <c r="F265" s="18"/>
      <c r="G265" s="18"/>
      <c r="H265" s="17"/>
      <c r="I265" s="17"/>
      <c r="J265" s="19"/>
      <c r="K265" s="23" t="str">
        <f>IF(A265="","",IF(G265&lt;&gt;"","Resolvida",IF(F265&lt;DataRef,"Vencida","No prazo")))</f>
        <v/>
      </c>
    </row>
    <row r="266" spans="1:11" x14ac:dyDescent="0.25">
      <c r="A266" s="19"/>
      <c r="B266" s="21"/>
      <c r="C266" s="18"/>
      <c r="D266" s="19"/>
      <c r="E266" s="21"/>
      <c r="F266" s="18"/>
      <c r="G266" s="18"/>
      <c r="H266" s="17"/>
      <c r="I266" s="17"/>
      <c r="J266" s="19"/>
      <c r="K266" s="23" t="str">
        <f>IF(A266="","",IF(G266&lt;&gt;"","Resolvida",IF(F266&lt;DataRef,"Vencida","No prazo")))</f>
        <v/>
      </c>
    </row>
    <row r="267" spans="1:11" x14ac:dyDescent="0.25">
      <c r="A267" s="19"/>
      <c r="B267" s="21"/>
      <c r="C267" s="18"/>
      <c r="D267" s="19"/>
      <c r="E267" s="21"/>
      <c r="F267" s="18"/>
      <c r="G267" s="18"/>
      <c r="H267" s="17"/>
      <c r="I267" s="17"/>
      <c r="J267" s="19"/>
      <c r="K267" s="23" t="str">
        <f>IF(A267="","",IF(G267&lt;&gt;"","Resolvida",IF(F267&lt;DataRef,"Vencida","No prazo")))</f>
        <v/>
      </c>
    </row>
    <row r="268" spans="1:11" x14ac:dyDescent="0.25">
      <c r="A268" s="19"/>
      <c r="B268" s="21"/>
      <c r="C268" s="18"/>
      <c r="D268" s="19"/>
      <c r="E268" s="21"/>
      <c r="F268" s="18"/>
      <c r="G268" s="18"/>
      <c r="H268" s="17"/>
      <c r="I268" s="17"/>
      <c r="J268" s="19"/>
      <c r="K268" s="23" t="str">
        <f>IF(A268="","",IF(G268&lt;&gt;"","Resolvida",IF(F268&lt;DataRef,"Vencida","No prazo")))</f>
        <v/>
      </c>
    </row>
    <row r="269" spans="1:11" x14ac:dyDescent="0.25">
      <c r="A269" s="19"/>
      <c r="B269" s="21"/>
      <c r="C269" s="18"/>
      <c r="D269" s="19"/>
      <c r="E269" s="21"/>
      <c r="F269" s="18"/>
      <c r="G269" s="18"/>
      <c r="H269" s="17"/>
      <c r="I269" s="17"/>
      <c r="J269" s="19"/>
      <c r="K269" s="23" t="str">
        <f>IF(A269="","",IF(G269&lt;&gt;"","Resolvida",IF(F269&lt;DataRef,"Vencida","No prazo")))</f>
        <v/>
      </c>
    </row>
    <row r="270" spans="1:11" x14ac:dyDescent="0.25">
      <c r="A270" s="19"/>
      <c r="B270" s="21"/>
      <c r="C270" s="18"/>
      <c r="D270" s="19"/>
      <c r="E270" s="21"/>
      <c r="F270" s="18"/>
      <c r="G270" s="18"/>
      <c r="H270" s="17"/>
      <c r="I270" s="17"/>
      <c r="J270" s="19"/>
      <c r="K270" s="23" t="str">
        <f>IF(A270="","",IF(G270&lt;&gt;"","Resolvida",IF(F270&lt;DataRef,"Vencida","No prazo")))</f>
        <v/>
      </c>
    </row>
    <row r="271" spans="1:11" x14ac:dyDescent="0.25">
      <c r="A271" s="19"/>
      <c r="B271" s="21"/>
      <c r="C271" s="18"/>
      <c r="D271" s="19"/>
      <c r="E271" s="21"/>
      <c r="F271" s="18"/>
      <c r="G271" s="18"/>
      <c r="H271" s="17"/>
      <c r="I271" s="17"/>
      <c r="J271" s="19"/>
      <c r="K271" s="23" t="str">
        <f>IF(A271="","",IF(G271&lt;&gt;"","Resolvida",IF(F271&lt;DataRef,"Vencida","No prazo")))</f>
        <v/>
      </c>
    </row>
    <row r="272" spans="1:11" x14ac:dyDescent="0.25">
      <c r="A272" s="19"/>
      <c r="B272" s="21"/>
      <c r="C272" s="18"/>
      <c r="D272" s="19"/>
      <c r="E272" s="21"/>
      <c r="F272" s="18"/>
      <c r="G272" s="18"/>
      <c r="H272" s="17"/>
      <c r="I272" s="17"/>
      <c r="J272" s="19"/>
      <c r="K272" s="23" t="str">
        <f>IF(A272="","",IF(G272&lt;&gt;"","Resolvida",IF(F272&lt;DataRef,"Vencida","No prazo")))</f>
        <v/>
      </c>
    </row>
    <row r="273" spans="1:11" x14ac:dyDescent="0.25">
      <c r="A273" s="19"/>
      <c r="B273" s="21"/>
      <c r="C273" s="18"/>
      <c r="D273" s="19"/>
      <c r="E273" s="21"/>
      <c r="F273" s="18"/>
      <c r="G273" s="18"/>
      <c r="H273" s="17"/>
      <c r="I273" s="17"/>
      <c r="J273" s="19"/>
      <c r="K273" s="23" t="str">
        <f>IF(A273="","",IF(G273&lt;&gt;"","Resolvida",IF(F273&lt;DataRef,"Vencida","No prazo")))</f>
        <v/>
      </c>
    </row>
    <row r="274" spans="1:11" x14ac:dyDescent="0.25">
      <c r="A274" s="19"/>
      <c r="B274" s="21"/>
      <c r="C274" s="18"/>
      <c r="D274" s="19"/>
      <c r="E274" s="21"/>
      <c r="F274" s="18"/>
      <c r="G274" s="18"/>
      <c r="H274" s="17"/>
      <c r="I274" s="17"/>
      <c r="J274" s="19"/>
      <c r="K274" s="23" t="str">
        <f>IF(A274="","",IF(G274&lt;&gt;"","Resolvida",IF(F274&lt;DataRef,"Vencida","No prazo")))</f>
        <v/>
      </c>
    </row>
    <row r="275" spans="1:11" x14ac:dyDescent="0.25">
      <c r="A275" s="19"/>
      <c r="B275" s="21"/>
      <c r="C275" s="18"/>
      <c r="D275" s="19"/>
      <c r="E275" s="21"/>
      <c r="F275" s="18"/>
      <c r="G275" s="18"/>
      <c r="H275" s="17"/>
      <c r="I275" s="17"/>
      <c r="J275" s="19"/>
      <c r="K275" s="23" t="str">
        <f>IF(A275="","",IF(G275&lt;&gt;"","Resolvida",IF(F275&lt;DataRef,"Vencida","No prazo")))</f>
        <v/>
      </c>
    </row>
    <row r="276" spans="1:11" x14ac:dyDescent="0.25">
      <c r="A276" s="19"/>
      <c r="B276" s="21"/>
      <c r="C276" s="18"/>
      <c r="D276" s="19"/>
      <c r="E276" s="21"/>
      <c r="F276" s="18"/>
      <c r="G276" s="18"/>
      <c r="H276" s="17"/>
      <c r="I276" s="17"/>
      <c r="J276" s="19"/>
      <c r="K276" s="23" t="str">
        <f>IF(A276="","",IF(G276&lt;&gt;"","Resolvida",IF(F276&lt;DataRef,"Vencida","No prazo")))</f>
        <v/>
      </c>
    </row>
    <row r="277" spans="1:11" x14ac:dyDescent="0.25">
      <c r="A277" s="19"/>
      <c r="B277" s="21"/>
      <c r="C277" s="18"/>
      <c r="D277" s="19"/>
      <c r="E277" s="21"/>
      <c r="F277" s="18"/>
      <c r="G277" s="18"/>
      <c r="H277" s="17"/>
      <c r="I277" s="17"/>
      <c r="J277" s="19"/>
      <c r="K277" s="23" t="str">
        <f>IF(A277="","",IF(G277&lt;&gt;"","Resolvida",IF(F277&lt;DataRef,"Vencida","No prazo")))</f>
        <v/>
      </c>
    </row>
    <row r="278" spans="1:11" x14ac:dyDescent="0.25">
      <c r="A278" s="19"/>
      <c r="B278" s="21"/>
      <c r="C278" s="18"/>
      <c r="D278" s="19"/>
      <c r="E278" s="21"/>
      <c r="F278" s="18"/>
      <c r="G278" s="18"/>
      <c r="H278" s="17"/>
      <c r="I278" s="17"/>
      <c r="J278" s="19"/>
      <c r="K278" s="23" t="str">
        <f>IF(A278="","",IF(G278&lt;&gt;"","Resolvida",IF(F278&lt;DataRef,"Vencida","No prazo")))</f>
        <v/>
      </c>
    </row>
    <row r="279" spans="1:11" x14ac:dyDescent="0.25">
      <c r="A279" s="19"/>
      <c r="B279" s="21"/>
      <c r="C279" s="18"/>
      <c r="D279" s="19"/>
      <c r="E279" s="21"/>
      <c r="F279" s="18"/>
      <c r="G279" s="18"/>
      <c r="H279" s="17"/>
      <c r="I279" s="17"/>
      <c r="J279" s="19"/>
      <c r="K279" s="23" t="str">
        <f>IF(A279="","",IF(G279&lt;&gt;"","Resolvida",IF(F279&lt;DataRef,"Vencida","No prazo")))</f>
        <v/>
      </c>
    </row>
    <row r="280" spans="1:11" x14ac:dyDescent="0.25">
      <c r="A280" s="19"/>
      <c r="B280" s="21"/>
      <c r="C280" s="18"/>
      <c r="D280" s="19"/>
      <c r="E280" s="21"/>
      <c r="F280" s="18"/>
      <c r="G280" s="18"/>
      <c r="H280" s="17"/>
      <c r="I280" s="17"/>
      <c r="J280" s="19"/>
      <c r="K280" s="23" t="str">
        <f>IF(A280="","",IF(G280&lt;&gt;"","Resolvida",IF(F280&lt;DataRef,"Vencida","No prazo")))</f>
        <v/>
      </c>
    </row>
    <row r="281" spans="1:11" x14ac:dyDescent="0.25">
      <c r="A281" s="19"/>
      <c r="B281" s="21"/>
      <c r="C281" s="18"/>
      <c r="D281" s="19"/>
      <c r="E281" s="21"/>
      <c r="F281" s="18"/>
      <c r="G281" s="18"/>
      <c r="H281" s="17"/>
      <c r="I281" s="17"/>
      <c r="J281" s="19"/>
      <c r="K281" s="23" t="str">
        <f>IF(A281="","",IF(G281&lt;&gt;"","Resolvida",IF(F281&lt;DataRef,"Vencida","No prazo")))</f>
        <v/>
      </c>
    </row>
    <row r="282" spans="1:11" x14ac:dyDescent="0.25">
      <c r="A282" s="19"/>
      <c r="B282" s="21"/>
      <c r="C282" s="18"/>
      <c r="D282" s="19"/>
      <c r="E282" s="21"/>
      <c r="F282" s="18"/>
      <c r="G282" s="18"/>
      <c r="H282" s="17"/>
      <c r="I282" s="17"/>
      <c r="J282" s="19"/>
      <c r="K282" s="23" t="str">
        <f>IF(A282="","",IF(G282&lt;&gt;"","Resolvida",IF(F282&lt;DataRef,"Vencida","No prazo")))</f>
        <v/>
      </c>
    </row>
    <row r="283" spans="1:11" x14ac:dyDescent="0.25">
      <c r="A283" s="19"/>
      <c r="B283" s="21"/>
      <c r="C283" s="18"/>
      <c r="D283" s="19"/>
      <c r="E283" s="21"/>
      <c r="F283" s="18"/>
      <c r="G283" s="18"/>
      <c r="H283" s="17"/>
      <c r="I283" s="17"/>
      <c r="J283" s="19"/>
      <c r="K283" s="23" t="str">
        <f>IF(A283="","",IF(G283&lt;&gt;"","Resolvida",IF(F283&lt;DataRef,"Vencida","No prazo")))</f>
        <v/>
      </c>
    </row>
    <row r="284" spans="1:11" x14ac:dyDescent="0.25">
      <c r="A284" s="19"/>
      <c r="B284" s="21"/>
      <c r="C284" s="18"/>
      <c r="D284" s="19"/>
      <c r="E284" s="21"/>
      <c r="F284" s="18"/>
      <c r="G284" s="18"/>
      <c r="H284" s="17"/>
      <c r="I284" s="17"/>
      <c r="J284" s="19"/>
      <c r="K284" s="23" t="str">
        <f>IF(A284="","",IF(G284&lt;&gt;"","Resolvida",IF(F284&lt;DataRef,"Vencida","No prazo")))</f>
        <v/>
      </c>
    </row>
    <row r="285" spans="1:11" x14ac:dyDescent="0.25">
      <c r="A285" s="19"/>
      <c r="B285" s="21"/>
      <c r="C285" s="18"/>
      <c r="D285" s="19"/>
      <c r="E285" s="21"/>
      <c r="F285" s="18"/>
      <c r="G285" s="18"/>
      <c r="H285" s="17"/>
      <c r="I285" s="17"/>
      <c r="J285" s="19"/>
      <c r="K285" s="23" t="str">
        <f>IF(A285="","",IF(G285&lt;&gt;"","Resolvida",IF(F285&lt;DataRef,"Vencida","No prazo")))</f>
        <v/>
      </c>
    </row>
    <row r="286" spans="1:11" x14ac:dyDescent="0.25">
      <c r="A286" s="19"/>
      <c r="B286" s="21"/>
      <c r="C286" s="18"/>
      <c r="D286" s="19"/>
      <c r="E286" s="21"/>
      <c r="F286" s="18"/>
      <c r="G286" s="18"/>
      <c r="H286" s="17"/>
      <c r="I286" s="17"/>
      <c r="J286" s="19"/>
      <c r="K286" s="23" t="str">
        <f>IF(A286="","",IF(G286&lt;&gt;"","Resolvida",IF(F286&lt;DataRef,"Vencida","No prazo")))</f>
        <v/>
      </c>
    </row>
    <row r="287" spans="1:11" x14ac:dyDescent="0.25">
      <c r="A287" s="19"/>
      <c r="B287" s="21"/>
      <c r="C287" s="18"/>
      <c r="D287" s="19"/>
      <c r="E287" s="21"/>
      <c r="F287" s="18"/>
      <c r="G287" s="18"/>
      <c r="H287" s="17"/>
      <c r="I287" s="17"/>
      <c r="J287" s="19"/>
      <c r="K287" s="23" t="str">
        <f>IF(A287="","",IF(G287&lt;&gt;"","Resolvida",IF(F287&lt;DataRef,"Vencida","No prazo")))</f>
        <v/>
      </c>
    </row>
    <row r="288" spans="1:11" x14ac:dyDescent="0.25">
      <c r="A288" s="19"/>
      <c r="B288" s="21"/>
      <c r="C288" s="18"/>
      <c r="D288" s="19"/>
      <c r="E288" s="21"/>
      <c r="F288" s="18"/>
      <c r="G288" s="18"/>
      <c r="H288" s="17"/>
      <c r="I288" s="17"/>
      <c r="J288" s="19"/>
      <c r="K288" s="23" t="str">
        <f>IF(A288="","",IF(G288&lt;&gt;"","Resolvida",IF(F288&lt;DataRef,"Vencida","No prazo")))</f>
        <v/>
      </c>
    </row>
    <row r="289" spans="1:11" x14ac:dyDescent="0.25">
      <c r="A289" s="19"/>
      <c r="B289" s="21"/>
      <c r="C289" s="18"/>
      <c r="D289" s="19"/>
      <c r="E289" s="21"/>
      <c r="F289" s="18"/>
      <c r="G289" s="18"/>
      <c r="H289" s="17"/>
      <c r="I289" s="17"/>
      <c r="J289" s="19"/>
      <c r="K289" s="23" t="str">
        <f>IF(A289="","",IF(G289&lt;&gt;"","Resolvida",IF(F289&lt;DataRef,"Vencida","No prazo")))</f>
        <v/>
      </c>
    </row>
    <row r="290" spans="1:11" x14ac:dyDescent="0.25">
      <c r="A290" s="19"/>
      <c r="B290" s="21"/>
      <c r="C290" s="18"/>
      <c r="D290" s="19"/>
      <c r="E290" s="21"/>
      <c r="F290" s="18"/>
      <c r="G290" s="18"/>
      <c r="H290" s="17"/>
      <c r="I290" s="17"/>
      <c r="J290" s="19"/>
      <c r="K290" s="23" t="str">
        <f>IF(A290="","",IF(G290&lt;&gt;"","Resolvida",IF(F290&lt;DataRef,"Vencida","No prazo")))</f>
        <v/>
      </c>
    </row>
    <row r="291" spans="1:11" x14ac:dyDescent="0.25">
      <c r="A291" s="19"/>
      <c r="B291" s="21"/>
      <c r="C291" s="18"/>
      <c r="D291" s="19"/>
      <c r="E291" s="21"/>
      <c r="F291" s="18"/>
      <c r="G291" s="18"/>
      <c r="H291" s="17"/>
      <c r="I291" s="17"/>
      <c r="J291" s="19"/>
      <c r="K291" s="23" t="str">
        <f>IF(A291="","",IF(G291&lt;&gt;"","Resolvida",IF(F291&lt;DataRef,"Vencida","No prazo")))</f>
        <v/>
      </c>
    </row>
    <row r="292" spans="1:11" x14ac:dyDescent="0.25">
      <c r="A292" s="19"/>
      <c r="B292" s="21"/>
      <c r="C292" s="18"/>
      <c r="D292" s="19"/>
      <c r="E292" s="21"/>
      <c r="F292" s="18"/>
      <c r="G292" s="18"/>
      <c r="H292" s="17"/>
      <c r="I292" s="17"/>
      <c r="J292" s="19"/>
      <c r="K292" s="23" t="str">
        <f>IF(A292="","",IF(G292&lt;&gt;"","Resolvida",IF(F292&lt;DataRef,"Vencida","No prazo")))</f>
        <v/>
      </c>
    </row>
    <row r="293" spans="1:11" x14ac:dyDescent="0.25">
      <c r="A293" s="19"/>
      <c r="B293" s="21"/>
      <c r="C293" s="18"/>
      <c r="D293" s="19"/>
      <c r="E293" s="21"/>
      <c r="F293" s="18"/>
      <c r="G293" s="18"/>
      <c r="H293" s="17"/>
      <c r="I293" s="17"/>
      <c r="J293" s="19"/>
      <c r="K293" s="23" t="str">
        <f>IF(A293="","",IF(G293&lt;&gt;"","Resolvida",IF(F293&lt;DataRef,"Vencida","No prazo")))</f>
        <v/>
      </c>
    </row>
    <row r="294" spans="1:11" x14ac:dyDescent="0.25">
      <c r="A294" s="19"/>
      <c r="B294" s="21"/>
      <c r="C294" s="18"/>
      <c r="D294" s="19"/>
      <c r="E294" s="21"/>
      <c r="F294" s="18"/>
      <c r="G294" s="18"/>
      <c r="H294" s="17"/>
      <c r="I294" s="17"/>
      <c r="J294" s="19"/>
      <c r="K294" s="23" t="str">
        <f>IF(A294="","",IF(G294&lt;&gt;"","Resolvida",IF(F294&lt;DataRef,"Vencida","No prazo")))</f>
        <v/>
      </c>
    </row>
    <row r="295" spans="1:11" x14ac:dyDescent="0.25">
      <c r="A295" s="19"/>
      <c r="B295" s="21"/>
      <c r="C295" s="18"/>
      <c r="D295" s="19"/>
      <c r="E295" s="21"/>
      <c r="F295" s="18"/>
      <c r="G295" s="18"/>
      <c r="H295" s="17"/>
      <c r="I295" s="17"/>
      <c r="J295" s="19"/>
      <c r="K295" s="23" t="str">
        <f>IF(A295="","",IF(G295&lt;&gt;"","Resolvida",IF(F295&lt;DataRef,"Vencida","No prazo")))</f>
        <v/>
      </c>
    </row>
    <row r="296" spans="1:11" x14ac:dyDescent="0.25">
      <c r="A296" s="19"/>
      <c r="B296" s="21"/>
      <c r="C296" s="18"/>
      <c r="D296" s="19"/>
      <c r="E296" s="21"/>
      <c r="F296" s="18"/>
      <c r="G296" s="18"/>
      <c r="H296" s="17"/>
      <c r="I296" s="17"/>
      <c r="J296" s="19"/>
      <c r="K296" s="23" t="str">
        <f>IF(A296="","",IF(G296&lt;&gt;"","Resolvida",IF(F296&lt;DataRef,"Vencida","No prazo")))</f>
        <v/>
      </c>
    </row>
    <row r="297" spans="1:11" x14ac:dyDescent="0.25">
      <c r="A297" s="19"/>
      <c r="B297" s="21"/>
      <c r="C297" s="18"/>
      <c r="D297" s="19"/>
      <c r="E297" s="21"/>
      <c r="F297" s="18"/>
      <c r="G297" s="18"/>
      <c r="H297" s="17"/>
      <c r="I297" s="17"/>
      <c r="J297" s="19"/>
      <c r="K297" s="23" t="str">
        <f>IF(A297="","",IF(G297&lt;&gt;"","Resolvida",IF(F297&lt;DataRef,"Vencida","No prazo")))</f>
        <v/>
      </c>
    </row>
    <row r="298" spans="1:11" x14ac:dyDescent="0.25">
      <c r="A298" s="19"/>
      <c r="B298" s="21"/>
      <c r="C298" s="18"/>
      <c r="D298" s="19"/>
      <c r="E298" s="21"/>
      <c r="F298" s="18"/>
      <c r="G298" s="18"/>
      <c r="H298" s="17"/>
      <c r="I298" s="17"/>
      <c r="J298" s="19"/>
      <c r="K298" s="23" t="str">
        <f>IF(A298="","",IF(G298&lt;&gt;"","Resolvida",IF(F298&lt;DataRef,"Vencida","No prazo")))</f>
        <v/>
      </c>
    </row>
    <row r="299" spans="1:11" x14ac:dyDescent="0.25">
      <c r="A299" s="19"/>
      <c r="B299" s="21"/>
      <c r="C299" s="18"/>
      <c r="D299" s="19"/>
      <c r="E299" s="21"/>
      <c r="F299" s="18"/>
      <c r="G299" s="18"/>
      <c r="H299" s="17"/>
      <c r="I299" s="17"/>
      <c r="J299" s="19"/>
      <c r="K299" s="23" t="str">
        <f>IF(A299="","",IF(G299&lt;&gt;"","Resolvida",IF(F299&lt;DataRef,"Vencida","No prazo")))</f>
        <v/>
      </c>
    </row>
    <row r="300" spans="1:11" x14ac:dyDescent="0.25">
      <c r="A300" s="19"/>
      <c r="B300" s="21"/>
      <c r="C300" s="18"/>
      <c r="D300" s="19"/>
      <c r="E300" s="21"/>
      <c r="F300" s="18"/>
      <c r="G300" s="18"/>
      <c r="H300" s="17"/>
      <c r="I300" s="17"/>
      <c r="J300" s="19"/>
      <c r="K300" s="23" t="str">
        <f>IF(A300="","",IF(G300&lt;&gt;"","Resolvida",IF(F300&lt;DataRef,"Vencida","No prazo")))</f>
        <v/>
      </c>
    </row>
    <row r="301" spans="1:11" x14ac:dyDescent="0.25">
      <c r="A301" s="19"/>
      <c r="B301" s="21"/>
      <c r="C301" s="18"/>
      <c r="D301" s="19"/>
      <c r="E301" s="21"/>
      <c r="F301" s="18"/>
      <c r="G301" s="18"/>
      <c r="H301" s="17"/>
      <c r="I301" s="17"/>
      <c r="J301" s="19"/>
      <c r="K301" s="23" t="str">
        <f>IF(A301="","",IF(G301&lt;&gt;"","Resolvida",IF(F301&lt;DataRef,"Vencida","No prazo")))</f>
        <v/>
      </c>
    </row>
    <row r="302" spans="1:11" x14ac:dyDescent="0.25">
      <c r="A302" s="19"/>
      <c r="B302" s="21"/>
      <c r="C302" s="18"/>
      <c r="D302" s="19"/>
      <c r="E302" s="21"/>
      <c r="F302" s="18"/>
      <c r="G302" s="18"/>
      <c r="H302" s="17"/>
      <c r="I302" s="17"/>
      <c r="J302" s="19"/>
      <c r="K302" s="23" t="str">
        <f>IF(A302="","",IF(G302&lt;&gt;"","Resolvida",IF(F302&lt;DataRef,"Vencida","No prazo")))</f>
        <v/>
      </c>
    </row>
    <row r="303" spans="1:11" x14ac:dyDescent="0.25">
      <c r="A303" s="19"/>
      <c r="B303" s="21"/>
      <c r="C303" s="18"/>
      <c r="D303" s="19"/>
      <c r="E303" s="21"/>
      <c r="F303" s="18"/>
      <c r="G303" s="18"/>
      <c r="H303" s="17"/>
      <c r="I303" s="17"/>
      <c r="J303" s="19"/>
      <c r="K303" s="23" t="str">
        <f>IF(A303="","",IF(G303&lt;&gt;"","Resolvida",IF(F303&lt;DataRef,"Vencida","No prazo")))</f>
        <v/>
      </c>
    </row>
    <row r="304" spans="1:11" x14ac:dyDescent="0.25">
      <c r="A304" s="19"/>
      <c r="B304" s="21"/>
      <c r="C304" s="18"/>
      <c r="D304" s="19"/>
      <c r="E304" s="21"/>
      <c r="F304" s="18"/>
      <c r="G304" s="18"/>
      <c r="H304" s="17"/>
      <c r="I304" s="17"/>
      <c r="J304" s="19"/>
      <c r="K304" s="23" t="str">
        <f>IF(A304="","",IF(G304&lt;&gt;"","Resolvida",IF(F304&lt;DataRef,"Vencida","No prazo")))</f>
        <v/>
      </c>
    </row>
    <row r="305" spans="1:11" x14ac:dyDescent="0.25">
      <c r="A305" s="19"/>
      <c r="B305" s="21"/>
      <c r="C305" s="18"/>
      <c r="D305" s="19"/>
      <c r="E305" s="21"/>
      <c r="F305" s="18"/>
      <c r="G305" s="18"/>
      <c r="H305" s="17"/>
      <c r="I305" s="17"/>
      <c r="J305" s="19"/>
      <c r="K305" s="23" t="str">
        <f>IF(A305="","",IF(G305&lt;&gt;"","Resolvida",IF(F305&lt;DataRef,"Vencida","No prazo")))</f>
        <v/>
      </c>
    </row>
    <row r="306" spans="1:11" x14ac:dyDescent="0.25">
      <c r="A306" s="19"/>
      <c r="B306" s="21"/>
      <c r="C306" s="18"/>
      <c r="D306" s="19"/>
      <c r="E306" s="21"/>
      <c r="F306" s="18"/>
      <c r="G306" s="18"/>
      <c r="H306" s="17"/>
      <c r="I306" s="17"/>
      <c r="J306" s="19"/>
      <c r="K306" s="23" t="str">
        <f>IF(A306="","",IF(G306&lt;&gt;"","Resolvida",IF(F306&lt;DataRef,"Vencida","No prazo")))</f>
        <v/>
      </c>
    </row>
    <row r="307" spans="1:11" x14ac:dyDescent="0.25">
      <c r="A307" s="19"/>
      <c r="B307" s="21"/>
      <c r="C307" s="18"/>
      <c r="D307" s="19"/>
      <c r="E307" s="21"/>
      <c r="F307" s="18"/>
      <c r="G307" s="18"/>
      <c r="H307" s="17"/>
      <c r="I307" s="17"/>
      <c r="J307" s="19"/>
      <c r="K307" s="23" t="str">
        <f>IF(A307="","",IF(G307&lt;&gt;"","Resolvida",IF(F307&lt;DataRef,"Vencida","No prazo")))</f>
        <v/>
      </c>
    </row>
    <row r="308" spans="1:11" x14ac:dyDescent="0.25">
      <c r="A308" s="19"/>
      <c r="B308" s="21"/>
      <c r="C308" s="18"/>
      <c r="D308" s="19"/>
      <c r="E308" s="21"/>
      <c r="F308" s="18"/>
      <c r="G308" s="18"/>
      <c r="H308" s="17"/>
      <c r="I308" s="17"/>
      <c r="J308" s="19"/>
      <c r="K308" s="23" t="str">
        <f>IF(A308="","",IF(G308&lt;&gt;"","Resolvida",IF(F308&lt;DataRef,"Vencida","No prazo")))</f>
        <v/>
      </c>
    </row>
    <row r="309" spans="1:11" x14ac:dyDescent="0.25">
      <c r="A309" s="19"/>
      <c r="B309" s="21"/>
      <c r="C309" s="18"/>
      <c r="D309" s="19"/>
      <c r="E309" s="21"/>
      <c r="F309" s="18"/>
      <c r="G309" s="18"/>
      <c r="H309" s="17"/>
      <c r="I309" s="17"/>
      <c r="J309" s="19"/>
      <c r="K309" s="23" t="str">
        <f>IF(A309="","",IF(G309&lt;&gt;"","Resolvida",IF(F309&lt;DataRef,"Vencida","No prazo")))</f>
        <v/>
      </c>
    </row>
    <row r="310" spans="1:11" x14ac:dyDescent="0.25">
      <c r="A310" s="19"/>
      <c r="B310" s="21"/>
      <c r="C310" s="18"/>
      <c r="D310" s="19"/>
      <c r="E310" s="21"/>
      <c r="F310" s="18"/>
      <c r="G310" s="18"/>
      <c r="H310" s="17"/>
      <c r="I310" s="17"/>
      <c r="J310" s="19"/>
      <c r="K310" s="23" t="str">
        <f>IF(A310="","",IF(G310&lt;&gt;"","Resolvida",IF(F310&lt;DataRef,"Vencida","No prazo")))</f>
        <v/>
      </c>
    </row>
    <row r="311" spans="1:11" x14ac:dyDescent="0.25">
      <c r="A311" s="19"/>
      <c r="B311" s="21"/>
      <c r="C311" s="18"/>
      <c r="D311" s="19"/>
      <c r="E311" s="21"/>
      <c r="F311" s="18"/>
      <c r="G311" s="18"/>
      <c r="H311" s="17"/>
      <c r="I311" s="17"/>
      <c r="J311" s="19"/>
      <c r="K311" s="23" t="str">
        <f>IF(A311="","",IF(G311&lt;&gt;"","Resolvida",IF(F311&lt;DataRef,"Vencida","No prazo")))</f>
        <v/>
      </c>
    </row>
    <row r="312" spans="1:11" x14ac:dyDescent="0.25">
      <c r="A312" s="19"/>
      <c r="B312" s="21"/>
      <c r="C312" s="18"/>
      <c r="D312" s="19"/>
      <c r="E312" s="21"/>
      <c r="F312" s="18"/>
      <c r="G312" s="18"/>
      <c r="H312" s="17"/>
      <c r="I312" s="17"/>
      <c r="J312" s="19"/>
      <c r="K312" s="23" t="str">
        <f>IF(A312="","",IF(G312&lt;&gt;"","Resolvida",IF(F312&lt;DataRef,"Vencida","No prazo")))</f>
        <v/>
      </c>
    </row>
    <row r="313" spans="1:11" x14ac:dyDescent="0.25">
      <c r="A313" s="19"/>
      <c r="B313" s="21"/>
      <c r="C313" s="18"/>
      <c r="D313" s="19"/>
      <c r="E313" s="21"/>
      <c r="F313" s="18"/>
      <c r="G313" s="18"/>
      <c r="H313" s="17"/>
      <c r="I313" s="17"/>
      <c r="J313" s="19"/>
      <c r="K313" s="23" t="str">
        <f>IF(A313="","",IF(G313&lt;&gt;"","Resolvida",IF(F313&lt;DataRef,"Vencida","No prazo")))</f>
        <v/>
      </c>
    </row>
    <row r="314" spans="1:11" x14ac:dyDescent="0.25">
      <c r="A314" s="19"/>
      <c r="B314" s="21"/>
      <c r="C314" s="18"/>
      <c r="D314" s="19"/>
      <c r="E314" s="21"/>
      <c r="F314" s="18"/>
      <c r="G314" s="18"/>
      <c r="H314" s="17"/>
      <c r="I314" s="17"/>
      <c r="J314" s="19"/>
      <c r="K314" s="23" t="str">
        <f>IF(A314="","",IF(G314&lt;&gt;"","Resolvida",IF(F314&lt;DataRef,"Vencida","No prazo")))</f>
        <v/>
      </c>
    </row>
    <row r="315" spans="1:11" x14ac:dyDescent="0.25">
      <c r="A315" s="19"/>
      <c r="B315" s="21"/>
      <c r="C315" s="18"/>
      <c r="D315" s="19"/>
      <c r="E315" s="21"/>
      <c r="F315" s="18"/>
      <c r="G315" s="18"/>
      <c r="H315" s="17"/>
      <c r="I315" s="17"/>
      <c r="J315" s="19"/>
      <c r="K315" s="23" t="str">
        <f>IF(A315="","",IF(G315&lt;&gt;"","Resolvida",IF(F315&lt;DataRef,"Vencida","No prazo")))</f>
        <v/>
      </c>
    </row>
    <row r="316" spans="1:11" x14ac:dyDescent="0.25">
      <c r="A316" s="19"/>
      <c r="B316" s="21"/>
      <c r="C316" s="18"/>
      <c r="D316" s="19"/>
      <c r="E316" s="21"/>
      <c r="F316" s="18"/>
      <c r="G316" s="18"/>
      <c r="H316" s="17"/>
      <c r="I316" s="17"/>
      <c r="J316" s="19"/>
      <c r="K316" s="23" t="str">
        <f>IF(A316="","",IF(G316&lt;&gt;"","Resolvida",IF(F316&lt;DataRef,"Vencida","No prazo")))</f>
        <v/>
      </c>
    </row>
    <row r="317" spans="1:11" x14ac:dyDescent="0.25">
      <c r="A317" s="19"/>
      <c r="B317" s="21"/>
      <c r="C317" s="18"/>
      <c r="D317" s="19"/>
      <c r="E317" s="21"/>
      <c r="F317" s="18"/>
      <c r="G317" s="18"/>
      <c r="H317" s="17"/>
      <c r="I317" s="17"/>
      <c r="J317" s="19"/>
      <c r="K317" s="23" t="str">
        <f>IF(A317="","",IF(G317&lt;&gt;"","Resolvida",IF(F317&lt;DataRef,"Vencida","No prazo")))</f>
        <v/>
      </c>
    </row>
    <row r="318" spans="1:11" x14ac:dyDescent="0.25">
      <c r="A318" s="19"/>
      <c r="B318" s="21"/>
      <c r="C318" s="18"/>
      <c r="D318" s="19"/>
      <c r="E318" s="21"/>
      <c r="F318" s="18"/>
      <c r="G318" s="18"/>
      <c r="H318" s="17"/>
      <c r="I318" s="17"/>
      <c r="J318" s="19"/>
      <c r="K318" s="23" t="str">
        <f>IF(A318="","",IF(G318&lt;&gt;"","Resolvida",IF(F318&lt;DataRef,"Vencida","No prazo")))</f>
        <v/>
      </c>
    </row>
    <row r="319" spans="1:11" x14ac:dyDescent="0.25">
      <c r="A319" s="19"/>
      <c r="B319" s="21"/>
      <c r="C319" s="18"/>
      <c r="D319" s="19"/>
      <c r="E319" s="21"/>
      <c r="F319" s="18"/>
      <c r="G319" s="18"/>
      <c r="H319" s="17"/>
      <c r="I319" s="17"/>
      <c r="J319" s="19"/>
      <c r="K319" s="23" t="str">
        <f>IF(A319="","",IF(G319&lt;&gt;"","Resolvida",IF(F319&lt;DataRef,"Vencida","No prazo")))</f>
        <v/>
      </c>
    </row>
    <row r="320" spans="1:11" x14ac:dyDescent="0.25">
      <c r="A320" s="19"/>
      <c r="B320" s="21"/>
      <c r="C320" s="18"/>
      <c r="D320" s="19"/>
      <c r="E320" s="21"/>
      <c r="F320" s="18"/>
      <c r="G320" s="18"/>
      <c r="H320" s="17"/>
      <c r="I320" s="17"/>
      <c r="J320" s="19"/>
      <c r="K320" s="23" t="str">
        <f>IF(A320="","",IF(G320&lt;&gt;"","Resolvida",IF(F320&lt;DataRef,"Vencida","No prazo")))</f>
        <v/>
      </c>
    </row>
    <row r="321" spans="1:11" x14ac:dyDescent="0.25">
      <c r="A321" s="19"/>
      <c r="B321" s="21"/>
      <c r="C321" s="18"/>
      <c r="D321" s="19"/>
      <c r="E321" s="21"/>
      <c r="F321" s="18"/>
      <c r="G321" s="18"/>
      <c r="H321" s="17"/>
      <c r="I321" s="17"/>
      <c r="J321" s="19"/>
      <c r="K321" s="23" t="str">
        <f>IF(A321="","",IF(G321&lt;&gt;"","Resolvida",IF(F321&lt;DataRef,"Vencida","No prazo")))</f>
        <v/>
      </c>
    </row>
    <row r="322" spans="1:11" x14ac:dyDescent="0.25">
      <c r="A322" s="19"/>
      <c r="B322" s="21"/>
      <c r="C322" s="18"/>
      <c r="D322" s="19"/>
      <c r="E322" s="21"/>
      <c r="F322" s="18"/>
      <c r="G322" s="18"/>
      <c r="H322" s="17"/>
      <c r="I322" s="17"/>
      <c r="J322" s="19"/>
      <c r="K322" s="23" t="str">
        <f>IF(A322="","",IF(G322&lt;&gt;"","Resolvida",IF(F322&lt;DataRef,"Vencida","No prazo")))</f>
        <v/>
      </c>
    </row>
    <row r="323" spans="1:11" x14ac:dyDescent="0.25">
      <c r="A323" s="19"/>
      <c r="B323" s="21"/>
      <c r="C323" s="18"/>
      <c r="D323" s="19"/>
      <c r="E323" s="21"/>
      <c r="F323" s="18"/>
      <c r="G323" s="18"/>
      <c r="H323" s="17"/>
      <c r="I323" s="17"/>
      <c r="J323" s="19"/>
      <c r="K323" s="23" t="str">
        <f>IF(A323="","",IF(G323&lt;&gt;"","Resolvida",IF(F323&lt;DataRef,"Vencida","No prazo")))</f>
        <v/>
      </c>
    </row>
    <row r="324" spans="1:11" x14ac:dyDescent="0.25">
      <c r="A324" s="19"/>
      <c r="B324" s="21"/>
      <c r="C324" s="18"/>
      <c r="D324" s="19"/>
      <c r="E324" s="21"/>
      <c r="F324" s="18"/>
      <c r="G324" s="18"/>
      <c r="H324" s="17"/>
      <c r="I324" s="17"/>
      <c r="J324" s="19"/>
      <c r="K324" s="23" t="str">
        <f>IF(A324="","",IF(G324&lt;&gt;"","Resolvida",IF(F324&lt;DataRef,"Vencida","No prazo")))</f>
        <v/>
      </c>
    </row>
    <row r="325" spans="1:11" x14ac:dyDescent="0.25">
      <c r="A325" s="19"/>
      <c r="B325" s="21"/>
      <c r="C325" s="18"/>
      <c r="D325" s="19"/>
      <c r="E325" s="21"/>
      <c r="F325" s="18"/>
      <c r="G325" s="18"/>
      <c r="H325" s="17"/>
      <c r="I325" s="17"/>
      <c r="J325" s="19"/>
      <c r="K325" s="23" t="str">
        <f>IF(A325="","",IF(G325&lt;&gt;"","Resolvida",IF(F325&lt;DataRef,"Vencida","No prazo")))</f>
        <v/>
      </c>
    </row>
    <row r="326" spans="1:11" x14ac:dyDescent="0.25">
      <c r="A326" s="19"/>
      <c r="B326" s="21"/>
      <c r="C326" s="18"/>
      <c r="D326" s="19"/>
      <c r="E326" s="21"/>
      <c r="F326" s="18"/>
      <c r="G326" s="18"/>
      <c r="H326" s="17"/>
      <c r="I326" s="17"/>
      <c r="J326" s="19"/>
      <c r="K326" s="23" t="str">
        <f>IF(A326="","",IF(G326&lt;&gt;"","Resolvida",IF(F326&lt;DataRef,"Vencida","No prazo")))</f>
        <v/>
      </c>
    </row>
    <row r="327" spans="1:11" x14ac:dyDescent="0.25">
      <c r="A327" s="19"/>
      <c r="B327" s="21"/>
      <c r="C327" s="18"/>
      <c r="D327" s="19"/>
      <c r="E327" s="21"/>
      <c r="F327" s="18"/>
      <c r="G327" s="18"/>
      <c r="H327" s="17"/>
      <c r="I327" s="17"/>
      <c r="J327" s="19"/>
      <c r="K327" s="23" t="str">
        <f>IF(A327="","",IF(G327&lt;&gt;"","Resolvida",IF(F327&lt;DataRef,"Vencida","No prazo")))</f>
        <v/>
      </c>
    </row>
    <row r="328" spans="1:11" x14ac:dyDescent="0.25">
      <c r="A328" s="19"/>
      <c r="B328" s="21"/>
      <c r="C328" s="18"/>
      <c r="D328" s="19"/>
      <c r="E328" s="21"/>
      <c r="F328" s="18"/>
      <c r="G328" s="18"/>
      <c r="H328" s="17"/>
      <c r="I328" s="17"/>
      <c r="J328" s="19"/>
      <c r="K328" s="23" t="str">
        <f>IF(A328="","",IF(G328&lt;&gt;"","Resolvida",IF(F328&lt;DataRef,"Vencida","No prazo")))</f>
        <v/>
      </c>
    </row>
    <row r="329" spans="1:11" x14ac:dyDescent="0.25">
      <c r="A329" s="19"/>
      <c r="B329" s="21"/>
      <c r="C329" s="18"/>
      <c r="D329" s="19"/>
      <c r="E329" s="21"/>
      <c r="F329" s="18"/>
      <c r="G329" s="18"/>
      <c r="H329" s="17"/>
      <c r="I329" s="17"/>
      <c r="J329" s="19"/>
      <c r="K329" s="23" t="str">
        <f>IF(A329="","",IF(G329&lt;&gt;"","Resolvida",IF(F329&lt;DataRef,"Vencida","No prazo")))</f>
        <v/>
      </c>
    </row>
    <row r="330" spans="1:11" x14ac:dyDescent="0.25">
      <c r="A330" s="19"/>
      <c r="B330" s="21"/>
      <c r="C330" s="18"/>
      <c r="D330" s="19"/>
      <c r="E330" s="21"/>
      <c r="F330" s="18"/>
      <c r="G330" s="18"/>
      <c r="H330" s="17"/>
      <c r="I330" s="17"/>
      <c r="J330" s="19"/>
      <c r="K330" s="23" t="str">
        <f>IF(A330="","",IF(G330&lt;&gt;"","Resolvida",IF(F330&lt;DataRef,"Vencida","No prazo")))</f>
        <v/>
      </c>
    </row>
    <row r="331" spans="1:11" x14ac:dyDescent="0.25">
      <c r="A331" s="19"/>
      <c r="B331" s="21"/>
      <c r="C331" s="18"/>
      <c r="D331" s="19"/>
      <c r="E331" s="21"/>
      <c r="F331" s="18"/>
      <c r="G331" s="18"/>
      <c r="H331" s="17"/>
      <c r="I331" s="17"/>
      <c r="J331" s="19"/>
      <c r="K331" s="23" t="str">
        <f>IF(A331="","",IF(G331&lt;&gt;"","Resolvida",IF(F331&lt;DataRef,"Vencida","No prazo")))</f>
        <v/>
      </c>
    </row>
    <row r="332" spans="1:11" x14ac:dyDescent="0.25">
      <c r="A332" s="19"/>
      <c r="B332" s="21"/>
      <c r="C332" s="18"/>
      <c r="D332" s="19"/>
      <c r="E332" s="21"/>
      <c r="F332" s="18"/>
      <c r="G332" s="18"/>
      <c r="H332" s="17"/>
      <c r="I332" s="17"/>
      <c r="J332" s="19"/>
      <c r="K332" s="23" t="str">
        <f>IF(A332="","",IF(G332&lt;&gt;"","Resolvida",IF(F332&lt;DataRef,"Vencida","No prazo")))</f>
        <v/>
      </c>
    </row>
    <row r="333" spans="1:11" x14ac:dyDescent="0.25">
      <c r="A333" s="19"/>
      <c r="B333" s="21"/>
      <c r="C333" s="18"/>
      <c r="D333" s="19"/>
      <c r="E333" s="21"/>
      <c r="F333" s="18"/>
      <c r="G333" s="18"/>
      <c r="H333" s="17"/>
      <c r="I333" s="17"/>
      <c r="J333" s="19"/>
      <c r="K333" s="23" t="str">
        <f>IF(A333="","",IF(G333&lt;&gt;"","Resolvida",IF(F333&lt;DataRef,"Vencida","No prazo")))</f>
        <v/>
      </c>
    </row>
    <row r="334" spans="1:11" x14ac:dyDescent="0.25">
      <c r="A334" s="19"/>
      <c r="B334" s="21"/>
      <c r="C334" s="18"/>
      <c r="D334" s="19"/>
      <c r="E334" s="21"/>
      <c r="F334" s="18"/>
      <c r="G334" s="18"/>
      <c r="H334" s="17"/>
      <c r="I334" s="17"/>
      <c r="J334" s="19"/>
      <c r="K334" s="23" t="str">
        <f>IF(A334="","",IF(G334&lt;&gt;"","Resolvida",IF(F334&lt;DataRef,"Vencida","No prazo")))</f>
        <v/>
      </c>
    </row>
    <row r="335" spans="1:11" x14ac:dyDescent="0.25">
      <c r="A335" s="19"/>
      <c r="B335" s="21"/>
      <c r="C335" s="18"/>
      <c r="D335" s="19"/>
      <c r="E335" s="21"/>
      <c r="F335" s="18"/>
      <c r="G335" s="18"/>
      <c r="H335" s="17"/>
      <c r="I335" s="17"/>
      <c r="J335" s="19"/>
      <c r="K335" s="23" t="str">
        <f>IF(A335="","",IF(G335&lt;&gt;"","Resolvida",IF(F335&lt;DataRef,"Vencida","No prazo")))</f>
        <v/>
      </c>
    </row>
    <row r="336" spans="1:11" x14ac:dyDescent="0.25">
      <c r="A336" s="19"/>
      <c r="B336" s="21"/>
      <c r="C336" s="18"/>
      <c r="D336" s="19"/>
      <c r="E336" s="21"/>
      <c r="F336" s="18"/>
      <c r="G336" s="18"/>
      <c r="H336" s="17"/>
      <c r="I336" s="17"/>
      <c r="J336" s="19"/>
      <c r="K336" s="23" t="str">
        <f>IF(A336="","",IF(G336&lt;&gt;"","Resolvida",IF(F336&lt;DataRef,"Vencida","No prazo")))</f>
        <v/>
      </c>
    </row>
    <row r="337" spans="1:11" x14ac:dyDescent="0.25">
      <c r="A337" s="19"/>
      <c r="B337" s="21"/>
      <c r="C337" s="18"/>
      <c r="D337" s="19"/>
      <c r="E337" s="21"/>
      <c r="F337" s="18"/>
      <c r="G337" s="18"/>
      <c r="H337" s="17"/>
      <c r="I337" s="17"/>
      <c r="J337" s="19"/>
      <c r="K337" s="23" t="str">
        <f>IF(A337="","",IF(G337&lt;&gt;"","Resolvida",IF(F337&lt;DataRef,"Vencida","No prazo")))</f>
        <v/>
      </c>
    </row>
    <row r="338" spans="1:11" x14ac:dyDescent="0.25">
      <c r="A338" s="19"/>
      <c r="B338" s="21"/>
      <c r="C338" s="18"/>
      <c r="D338" s="19"/>
      <c r="E338" s="21"/>
      <c r="F338" s="18"/>
      <c r="G338" s="18"/>
      <c r="H338" s="17"/>
      <c r="I338" s="17"/>
      <c r="J338" s="19"/>
      <c r="K338" s="23" t="str">
        <f>IF(A338="","",IF(G338&lt;&gt;"","Resolvida",IF(F338&lt;DataRef,"Vencida","No prazo")))</f>
        <v/>
      </c>
    </row>
    <row r="339" spans="1:11" x14ac:dyDescent="0.25">
      <c r="A339" s="19"/>
      <c r="B339" s="21"/>
      <c r="C339" s="18"/>
      <c r="D339" s="19"/>
      <c r="E339" s="21"/>
      <c r="F339" s="18"/>
      <c r="G339" s="18"/>
      <c r="H339" s="17"/>
      <c r="I339" s="17"/>
      <c r="J339" s="19"/>
      <c r="K339" s="23" t="str">
        <f>IF(A339="","",IF(G339&lt;&gt;"","Resolvida",IF(F339&lt;DataRef,"Vencida","No prazo")))</f>
        <v/>
      </c>
    </row>
    <row r="340" spans="1:11" x14ac:dyDescent="0.25">
      <c r="A340" s="19"/>
      <c r="B340" s="21"/>
      <c r="C340" s="18"/>
      <c r="D340" s="19"/>
      <c r="E340" s="21"/>
      <c r="F340" s="18"/>
      <c r="G340" s="18"/>
      <c r="H340" s="17"/>
      <c r="I340" s="17"/>
      <c r="J340" s="19"/>
      <c r="K340" s="23" t="str">
        <f>IF(A340="","",IF(G340&lt;&gt;"","Resolvida",IF(F340&lt;DataRef,"Vencida","No prazo")))</f>
        <v/>
      </c>
    </row>
    <row r="341" spans="1:11" x14ac:dyDescent="0.25">
      <c r="A341" s="19"/>
      <c r="B341" s="21"/>
      <c r="C341" s="18"/>
      <c r="D341" s="19"/>
      <c r="E341" s="21"/>
      <c r="F341" s="18"/>
      <c r="G341" s="18"/>
      <c r="H341" s="17"/>
      <c r="I341" s="17"/>
      <c r="J341" s="19"/>
      <c r="K341" s="23" t="str">
        <f>IF(A341="","",IF(G341&lt;&gt;"","Resolvida",IF(F341&lt;DataRef,"Vencida","No prazo")))</f>
        <v/>
      </c>
    </row>
    <row r="342" spans="1:11" x14ac:dyDescent="0.25">
      <c r="A342" s="19"/>
      <c r="B342" s="21"/>
      <c r="C342" s="18"/>
      <c r="D342" s="19"/>
      <c r="E342" s="21"/>
      <c r="F342" s="18"/>
      <c r="G342" s="18"/>
      <c r="H342" s="17"/>
      <c r="I342" s="17"/>
      <c r="J342" s="19"/>
      <c r="K342" s="23" t="str">
        <f>IF(A342="","",IF(G342&lt;&gt;"","Resolvida",IF(F342&lt;DataRef,"Vencida","No prazo")))</f>
        <v/>
      </c>
    </row>
    <row r="343" spans="1:11" x14ac:dyDescent="0.25">
      <c r="A343" s="19"/>
      <c r="B343" s="21"/>
      <c r="C343" s="18"/>
      <c r="D343" s="19"/>
      <c r="E343" s="21"/>
      <c r="F343" s="18"/>
      <c r="G343" s="18"/>
      <c r="H343" s="17"/>
      <c r="I343" s="17"/>
      <c r="J343" s="19"/>
      <c r="K343" s="23" t="str">
        <f>IF(A343="","",IF(G343&lt;&gt;"","Resolvida",IF(F343&lt;DataRef,"Vencida","No prazo")))</f>
        <v/>
      </c>
    </row>
    <row r="344" spans="1:11" x14ac:dyDescent="0.25">
      <c r="A344" s="19"/>
      <c r="B344" s="21"/>
      <c r="C344" s="18"/>
      <c r="D344" s="19"/>
      <c r="E344" s="21"/>
      <c r="F344" s="18"/>
      <c r="G344" s="18"/>
      <c r="H344" s="17"/>
      <c r="I344" s="17"/>
      <c r="J344" s="19"/>
      <c r="K344" s="23" t="str">
        <f>IF(A344="","",IF(G344&lt;&gt;"","Resolvida",IF(F344&lt;DataRef,"Vencida","No prazo")))</f>
        <v/>
      </c>
    </row>
    <row r="345" spans="1:11" x14ac:dyDescent="0.25">
      <c r="A345" s="19"/>
      <c r="B345" s="21"/>
      <c r="C345" s="18"/>
      <c r="D345" s="19"/>
      <c r="E345" s="21"/>
      <c r="F345" s="18"/>
      <c r="G345" s="18"/>
      <c r="H345" s="17"/>
      <c r="I345" s="17"/>
      <c r="J345" s="19"/>
      <c r="K345" s="23" t="str">
        <f>IF(A345="","",IF(G345&lt;&gt;"","Resolvida",IF(F345&lt;DataRef,"Vencida","No prazo")))</f>
        <v/>
      </c>
    </row>
    <row r="346" spans="1:11" x14ac:dyDescent="0.25">
      <c r="A346" s="19"/>
      <c r="B346" s="21"/>
      <c r="C346" s="18"/>
      <c r="D346" s="19"/>
      <c r="E346" s="21"/>
      <c r="F346" s="18"/>
      <c r="G346" s="18"/>
      <c r="H346" s="17"/>
      <c r="I346" s="17"/>
      <c r="J346" s="19"/>
      <c r="K346" s="23" t="str">
        <f>IF(A346="","",IF(G346&lt;&gt;"","Resolvida",IF(F346&lt;DataRef,"Vencida","No prazo")))</f>
        <v/>
      </c>
    </row>
    <row r="347" spans="1:11" x14ac:dyDescent="0.25">
      <c r="A347" s="19"/>
      <c r="B347" s="21"/>
      <c r="C347" s="18"/>
      <c r="D347" s="19"/>
      <c r="E347" s="21"/>
      <c r="F347" s="18"/>
      <c r="G347" s="18"/>
      <c r="H347" s="17"/>
      <c r="I347" s="17"/>
      <c r="J347" s="19"/>
      <c r="K347" s="23" t="str">
        <f>IF(A347="","",IF(G347&lt;&gt;"","Resolvida",IF(F347&lt;DataRef,"Vencida","No prazo")))</f>
        <v/>
      </c>
    </row>
    <row r="348" spans="1:11" x14ac:dyDescent="0.25">
      <c r="A348" s="19"/>
      <c r="B348" s="21"/>
      <c r="C348" s="18"/>
      <c r="D348" s="19"/>
      <c r="E348" s="21"/>
      <c r="F348" s="18"/>
      <c r="G348" s="18"/>
      <c r="H348" s="17"/>
      <c r="I348" s="17"/>
      <c r="J348" s="19"/>
      <c r="K348" s="23" t="str">
        <f>IF(A348="","",IF(G348&lt;&gt;"","Resolvida",IF(F348&lt;DataRef,"Vencida","No prazo")))</f>
        <v/>
      </c>
    </row>
    <row r="349" spans="1:11" x14ac:dyDescent="0.25">
      <c r="A349" s="19"/>
      <c r="B349" s="21"/>
      <c r="C349" s="18"/>
      <c r="D349" s="19"/>
      <c r="E349" s="21"/>
      <c r="F349" s="18"/>
      <c r="G349" s="18"/>
      <c r="H349" s="17"/>
      <c r="I349" s="17"/>
      <c r="J349" s="19"/>
      <c r="K349" s="23" t="str">
        <f>IF(A349="","",IF(G349&lt;&gt;"","Resolvida",IF(F349&lt;DataRef,"Vencida","No prazo")))</f>
        <v/>
      </c>
    </row>
    <row r="350" spans="1:11" x14ac:dyDescent="0.25">
      <c r="A350" s="19"/>
      <c r="B350" s="21"/>
      <c r="C350" s="18"/>
      <c r="D350" s="19"/>
      <c r="E350" s="21"/>
      <c r="F350" s="18"/>
      <c r="G350" s="18"/>
      <c r="H350" s="17"/>
      <c r="I350" s="17"/>
      <c r="J350" s="19"/>
      <c r="K350" s="23" t="str">
        <f>IF(A350="","",IF(G350&lt;&gt;"","Resolvida",IF(F350&lt;DataRef,"Vencida","No prazo")))</f>
        <v/>
      </c>
    </row>
    <row r="351" spans="1:11" x14ac:dyDescent="0.25">
      <c r="A351" s="19"/>
      <c r="B351" s="21"/>
      <c r="C351" s="18"/>
      <c r="D351" s="19"/>
      <c r="E351" s="21"/>
      <c r="F351" s="18"/>
      <c r="G351" s="18"/>
      <c r="H351" s="17"/>
      <c r="I351" s="17"/>
      <c r="J351" s="19"/>
      <c r="K351" s="23" t="str">
        <f>IF(A351="","",IF(G351&lt;&gt;"","Resolvida",IF(F351&lt;DataRef,"Vencida","No prazo")))</f>
        <v/>
      </c>
    </row>
    <row r="352" spans="1:11" x14ac:dyDescent="0.25">
      <c r="A352" s="19"/>
      <c r="B352" s="21"/>
      <c r="C352" s="18"/>
      <c r="D352" s="19"/>
      <c r="E352" s="21"/>
      <c r="F352" s="18"/>
      <c r="G352" s="18"/>
      <c r="H352" s="17"/>
      <c r="I352" s="17"/>
      <c r="J352" s="19"/>
      <c r="K352" s="23" t="str">
        <f>IF(A352="","",IF(G352&lt;&gt;"","Resolvida",IF(F352&lt;DataRef,"Vencida","No prazo")))</f>
        <v/>
      </c>
    </row>
    <row r="353" spans="1:11" x14ac:dyDescent="0.25">
      <c r="A353" s="19"/>
      <c r="B353" s="21"/>
      <c r="C353" s="18"/>
      <c r="D353" s="19"/>
      <c r="E353" s="21"/>
      <c r="F353" s="18"/>
      <c r="G353" s="18"/>
      <c r="H353" s="17"/>
      <c r="I353" s="17"/>
      <c r="J353" s="19"/>
      <c r="K353" s="23" t="str">
        <f>IF(A353="","",IF(G353&lt;&gt;"","Resolvida",IF(F353&lt;DataRef,"Vencida","No prazo")))</f>
        <v/>
      </c>
    </row>
    <row r="354" spans="1:11" x14ac:dyDescent="0.25">
      <c r="A354" s="19"/>
      <c r="B354" s="21"/>
      <c r="C354" s="18"/>
      <c r="D354" s="19"/>
      <c r="E354" s="21"/>
      <c r="F354" s="18"/>
      <c r="G354" s="18"/>
      <c r="H354" s="17"/>
      <c r="I354" s="17"/>
      <c r="J354" s="19"/>
      <c r="K354" s="23" t="str">
        <f>IF(A354="","",IF(G354&lt;&gt;"","Resolvida",IF(F354&lt;DataRef,"Vencida","No prazo")))</f>
        <v/>
      </c>
    </row>
    <row r="355" spans="1:11" x14ac:dyDescent="0.25">
      <c r="A355" s="19"/>
      <c r="B355" s="21"/>
      <c r="C355" s="18"/>
      <c r="D355" s="19"/>
      <c r="E355" s="21"/>
      <c r="F355" s="18"/>
      <c r="G355" s="18"/>
      <c r="H355" s="17"/>
      <c r="I355" s="17"/>
      <c r="J355" s="19"/>
      <c r="K355" s="23" t="str">
        <f>IF(A355="","",IF(G355&lt;&gt;"","Resolvida",IF(F355&lt;DataRef,"Vencida","No prazo")))</f>
        <v/>
      </c>
    </row>
    <row r="356" spans="1:11" x14ac:dyDescent="0.25">
      <c r="A356" s="19"/>
      <c r="B356" s="21"/>
      <c r="C356" s="18"/>
      <c r="D356" s="19"/>
      <c r="E356" s="21"/>
      <c r="F356" s="18"/>
      <c r="G356" s="18"/>
      <c r="H356" s="17"/>
      <c r="I356" s="17"/>
      <c r="J356" s="19"/>
      <c r="K356" s="23" t="str">
        <f>IF(A356="","",IF(G356&lt;&gt;"","Resolvida",IF(F356&lt;DataRef,"Vencida","No prazo")))</f>
        <v/>
      </c>
    </row>
    <row r="357" spans="1:11" x14ac:dyDescent="0.25">
      <c r="A357" s="19"/>
      <c r="B357" s="21"/>
      <c r="C357" s="18"/>
      <c r="D357" s="19"/>
      <c r="E357" s="21"/>
      <c r="F357" s="18"/>
      <c r="G357" s="18"/>
      <c r="H357" s="17"/>
      <c r="I357" s="17"/>
      <c r="J357" s="19"/>
      <c r="K357" s="23" t="str">
        <f>IF(A357="","",IF(G357&lt;&gt;"","Resolvida",IF(F357&lt;DataRef,"Vencida","No prazo")))</f>
        <v/>
      </c>
    </row>
    <row r="358" spans="1:11" x14ac:dyDescent="0.25">
      <c r="A358" s="19"/>
      <c r="B358" s="21"/>
      <c r="C358" s="18"/>
      <c r="D358" s="19"/>
      <c r="E358" s="21"/>
      <c r="F358" s="18"/>
      <c r="G358" s="18"/>
      <c r="H358" s="17"/>
      <c r="I358" s="17"/>
      <c r="J358" s="19"/>
      <c r="K358" s="23" t="str">
        <f>IF(A358="","",IF(G358&lt;&gt;"","Resolvida",IF(F358&lt;DataRef,"Vencida","No prazo")))</f>
        <v/>
      </c>
    </row>
    <row r="359" spans="1:11" x14ac:dyDescent="0.25">
      <c r="A359" s="19"/>
      <c r="B359" s="21"/>
      <c r="C359" s="18"/>
      <c r="D359" s="19"/>
      <c r="E359" s="21"/>
      <c r="F359" s="18"/>
      <c r="G359" s="18"/>
      <c r="H359" s="17"/>
      <c r="I359" s="17"/>
      <c r="J359" s="19"/>
      <c r="K359" s="23" t="str">
        <f>IF(A359="","",IF(G359&lt;&gt;"","Resolvida",IF(F359&lt;DataRef,"Vencida","No prazo")))</f>
        <v/>
      </c>
    </row>
    <row r="360" spans="1:11" x14ac:dyDescent="0.25">
      <c r="A360" s="19"/>
      <c r="B360" s="21"/>
      <c r="C360" s="18"/>
      <c r="D360" s="19"/>
      <c r="E360" s="21"/>
      <c r="F360" s="18"/>
      <c r="G360" s="18"/>
      <c r="H360" s="17"/>
      <c r="I360" s="17"/>
      <c r="J360" s="19"/>
      <c r="K360" s="23" t="str">
        <f>IF(A360="","",IF(G360&lt;&gt;"","Resolvida",IF(F360&lt;DataRef,"Vencida","No prazo")))</f>
        <v/>
      </c>
    </row>
    <row r="361" spans="1:11" x14ac:dyDescent="0.25">
      <c r="A361" s="19"/>
      <c r="B361" s="21"/>
      <c r="C361" s="18"/>
      <c r="D361" s="19"/>
      <c r="E361" s="21"/>
      <c r="F361" s="18"/>
      <c r="G361" s="18"/>
      <c r="H361" s="17"/>
      <c r="I361" s="17"/>
      <c r="J361" s="19"/>
      <c r="K361" s="23" t="str">
        <f>IF(A361="","",IF(G361&lt;&gt;"","Resolvida",IF(F361&lt;DataRef,"Vencida","No prazo")))</f>
        <v/>
      </c>
    </row>
    <row r="362" spans="1:11" x14ac:dyDescent="0.25">
      <c r="A362" s="19"/>
      <c r="B362" s="21"/>
      <c r="C362" s="18"/>
      <c r="D362" s="19"/>
      <c r="E362" s="21"/>
      <c r="F362" s="18"/>
      <c r="G362" s="18"/>
      <c r="H362" s="17"/>
      <c r="I362" s="17"/>
      <c r="J362" s="19"/>
      <c r="K362" s="23" t="str">
        <f>IF(A362="","",IF(G362&lt;&gt;"","Resolvida",IF(F362&lt;DataRef,"Vencida","No prazo")))</f>
        <v/>
      </c>
    </row>
    <row r="363" spans="1:11" x14ac:dyDescent="0.25">
      <c r="A363" s="19"/>
      <c r="B363" s="21"/>
      <c r="C363" s="18"/>
      <c r="D363" s="19"/>
      <c r="E363" s="21"/>
      <c r="F363" s="18"/>
      <c r="G363" s="18"/>
      <c r="H363" s="17"/>
      <c r="I363" s="17"/>
      <c r="J363" s="19"/>
      <c r="K363" s="23" t="str">
        <f>IF(A363="","",IF(G363&lt;&gt;"","Resolvida",IF(F363&lt;DataRef,"Vencida","No prazo")))</f>
        <v/>
      </c>
    </row>
    <row r="364" spans="1:11" x14ac:dyDescent="0.25">
      <c r="A364" s="19"/>
      <c r="B364" s="21"/>
      <c r="C364" s="18"/>
      <c r="D364" s="19"/>
      <c r="E364" s="21"/>
      <c r="F364" s="18"/>
      <c r="G364" s="18"/>
      <c r="H364" s="17"/>
      <c r="I364" s="17"/>
      <c r="J364" s="19"/>
      <c r="K364" s="23" t="str">
        <f>IF(A364="","",IF(G364&lt;&gt;"","Resolvida",IF(F364&lt;DataRef,"Vencida","No prazo")))</f>
        <v/>
      </c>
    </row>
    <row r="365" spans="1:11" x14ac:dyDescent="0.25">
      <c r="A365" s="19"/>
      <c r="B365" s="21"/>
      <c r="C365" s="18"/>
      <c r="D365" s="19"/>
      <c r="E365" s="21"/>
      <c r="F365" s="18"/>
      <c r="G365" s="18"/>
      <c r="H365" s="17"/>
      <c r="I365" s="17"/>
      <c r="J365" s="19"/>
      <c r="K365" s="23" t="str">
        <f>IF(A365="","",IF(G365&lt;&gt;"","Resolvida",IF(F365&lt;DataRef,"Vencida","No prazo")))</f>
        <v/>
      </c>
    </row>
    <row r="366" spans="1:11" x14ac:dyDescent="0.25">
      <c r="A366" s="19"/>
      <c r="B366" s="21"/>
      <c r="C366" s="18"/>
      <c r="D366" s="19"/>
      <c r="E366" s="21"/>
      <c r="F366" s="18"/>
      <c r="G366" s="18"/>
      <c r="H366" s="17"/>
      <c r="I366" s="17"/>
      <c r="J366" s="19"/>
      <c r="K366" s="23" t="str">
        <f>IF(A366="","",IF(G366&lt;&gt;"","Resolvida",IF(F366&lt;DataRef,"Vencida","No prazo")))</f>
        <v/>
      </c>
    </row>
    <row r="367" spans="1:11" x14ac:dyDescent="0.25">
      <c r="A367" s="19"/>
      <c r="B367" s="21"/>
      <c r="C367" s="18"/>
      <c r="D367" s="19"/>
      <c r="E367" s="21"/>
      <c r="F367" s="18"/>
      <c r="G367" s="18"/>
      <c r="H367" s="17"/>
      <c r="I367" s="17"/>
      <c r="J367" s="19"/>
      <c r="K367" s="23" t="str">
        <f>IF(A367="","",IF(G367&lt;&gt;"","Resolvida",IF(F367&lt;DataRef,"Vencida","No prazo")))</f>
        <v/>
      </c>
    </row>
    <row r="368" spans="1:11" x14ac:dyDescent="0.25">
      <c r="A368" s="19"/>
      <c r="B368" s="21"/>
      <c r="C368" s="18"/>
      <c r="D368" s="19"/>
      <c r="E368" s="21"/>
      <c r="F368" s="18"/>
      <c r="G368" s="18"/>
      <c r="H368" s="17"/>
      <c r="I368" s="17"/>
      <c r="J368" s="19"/>
      <c r="K368" s="23" t="str">
        <f>IF(A368="","",IF(G368&lt;&gt;"","Resolvida",IF(F368&lt;DataRef,"Vencida","No prazo")))</f>
        <v/>
      </c>
    </row>
    <row r="369" spans="1:11" x14ac:dyDescent="0.25">
      <c r="A369" s="19"/>
      <c r="B369" s="21"/>
      <c r="C369" s="18"/>
      <c r="D369" s="19"/>
      <c r="E369" s="21"/>
      <c r="F369" s="18"/>
      <c r="G369" s="18"/>
      <c r="H369" s="17"/>
      <c r="I369" s="17"/>
      <c r="J369" s="19"/>
      <c r="K369" s="23" t="str">
        <f>IF(A369="","",IF(G369&lt;&gt;"","Resolvida",IF(F369&lt;DataRef,"Vencida","No prazo")))</f>
        <v/>
      </c>
    </row>
    <row r="370" spans="1:11" x14ac:dyDescent="0.25">
      <c r="A370" s="19"/>
      <c r="B370" s="21"/>
      <c r="C370" s="18"/>
      <c r="D370" s="19"/>
      <c r="E370" s="21"/>
      <c r="F370" s="18"/>
      <c r="G370" s="18"/>
      <c r="H370" s="17"/>
      <c r="I370" s="17"/>
      <c r="J370" s="19"/>
      <c r="K370" s="23" t="str">
        <f>IF(A370="","",IF(G370&lt;&gt;"","Resolvida",IF(F370&lt;DataRef,"Vencida","No prazo")))</f>
        <v/>
      </c>
    </row>
    <row r="371" spans="1:11" x14ac:dyDescent="0.25">
      <c r="A371" s="19"/>
      <c r="B371" s="21"/>
      <c r="C371" s="18"/>
      <c r="D371" s="19"/>
      <c r="E371" s="21"/>
      <c r="F371" s="18"/>
      <c r="G371" s="18"/>
      <c r="H371" s="17"/>
      <c r="I371" s="17"/>
      <c r="J371" s="19"/>
      <c r="K371" s="23" t="str">
        <f>IF(A371="","",IF(G371&lt;&gt;"","Resolvida",IF(F371&lt;DataRef,"Vencida","No prazo")))</f>
        <v/>
      </c>
    </row>
    <row r="372" spans="1:11" x14ac:dyDescent="0.25">
      <c r="A372" s="19"/>
      <c r="B372" s="21"/>
      <c r="C372" s="18"/>
      <c r="D372" s="19"/>
      <c r="E372" s="21"/>
      <c r="F372" s="18"/>
      <c r="G372" s="18"/>
      <c r="H372" s="17"/>
      <c r="I372" s="17"/>
      <c r="J372" s="19"/>
      <c r="K372" s="23" t="str">
        <f>IF(A372="","",IF(G372&lt;&gt;"","Resolvida",IF(F372&lt;DataRef,"Vencida","No prazo")))</f>
        <v/>
      </c>
    </row>
    <row r="373" spans="1:11" x14ac:dyDescent="0.25">
      <c r="A373" s="19"/>
      <c r="B373" s="21"/>
      <c r="C373" s="18"/>
      <c r="D373" s="19"/>
      <c r="E373" s="21"/>
      <c r="F373" s="18"/>
      <c r="G373" s="18"/>
      <c r="H373" s="17"/>
      <c r="I373" s="17"/>
      <c r="J373" s="19"/>
      <c r="K373" s="23" t="str">
        <f>IF(A373="","",IF(G373&lt;&gt;"","Resolvida",IF(F373&lt;DataRef,"Vencida","No prazo")))</f>
        <v/>
      </c>
    </row>
    <row r="374" spans="1:11" x14ac:dyDescent="0.25">
      <c r="A374" s="19"/>
      <c r="B374" s="21"/>
      <c r="C374" s="18"/>
      <c r="D374" s="19"/>
      <c r="E374" s="21"/>
      <c r="F374" s="18"/>
      <c r="G374" s="18"/>
      <c r="H374" s="17"/>
      <c r="I374" s="17"/>
      <c r="J374" s="19"/>
      <c r="K374" s="23" t="str">
        <f>IF(A374="","",IF(G374&lt;&gt;"","Resolvida",IF(F374&lt;DataRef,"Vencida","No prazo")))</f>
        <v/>
      </c>
    </row>
    <row r="375" spans="1:11" x14ac:dyDescent="0.25">
      <c r="A375" s="19"/>
      <c r="B375" s="21"/>
      <c r="C375" s="18"/>
      <c r="D375" s="19"/>
      <c r="E375" s="21"/>
      <c r="F375" s="18"/>
      <c r="G375" s="18"/>
      <c r="H375" s="17"/>
      <c r="I375" s="17"/>
      <c r="J375" s="19"/>
      <c r="K375" s="23" t="str">
        <f>IF(A375="","",IF(G375&lt;&gt;"","Resolvida",IF(F375&lt;DataRef,"Vencida","No prazo")))</f>
        <v/>
      </c>
    </row>
    <row r="376" spans="1:11" x14ac:dyDescent="0.25">
      <c r="A376" s="19"/>
      <c r="B376" s="21"/>
      <c r="C376" s="18"/>
      <c r="D376" s="19"/>
      <c r="E376" s="21"/>
      <c r="F376" s="18"/>
      <c r="G376" s="18"/>
      <c r="H376" s="17"/>
      <c r="I376" s="17"/>
      <c r="J376" s="19"/>
      <c r="K376" s="23" t="str">
        <f>IF(A376="","",IF(G376&lt;&gt;"","Resolvida",IF(F376&lt;DataRef,"Vencida","No prazo")))</f>
        <v/>
      </c>
    </row>
    <row r="377" spans="1:11" x14ac:dyDescent="0.25">
      <c r="A377" s="19"/>
      <c r="B377" s="21"/>
      <c r="C377" s="18"/>
      <c r="D377" s="19"/>
      <c r="E377" s="21"/>
      <c r="F377" s="18"/>
      <c r="G377" s="18"/>
      <c r="H377" s="17"/>
      <c r="I377" s="17"/>
      <c r="J377" s="19"/>
      <c r="K377" s="23" t="str">
        <f>IF(A377="","",IF(G377&lt;&gt;"","Resolvida",IF(F377&lt;DataRef,"Vencida","No prazo")))</f>
        <v/>
      </c>
    </row>
    <row r="378" spans="1:11" x14ac:dyDescent="0.25">
      <c r="A378" s="19"/>
      <c r="B378" s="21"/>
      <c r="C378" s="18"/>
      <c r="D378" s="19"/>
      <c r="E378" s="21"/>
      <c r="F378" s="18"/>
      <c r="G378" s="18"/>
      <c r="H378" s="17"/>
      <c r="I378" s="17"/>
      <c r="J378" s="19"/>
      <c r="K378" s="23" t="str">
        <f>IF(A378="","",IF(G378&lt;&gt;"","Resolvida",IF(F378&lt;DataRef,"Vencida","No prazo")))</f>
        <v/>
      </c>
    </row>
    <row r="379" spans="1:11" x14ac:dyDescent="0.25">
      <c r="A379" s="19"/>
      <c r="B379" s="21"/>
      <c r="C379" s="18"/>
      <c r="D379" s="19"/>
      <c r="E379" s="21"/>
      <c r="F379" s="18"/>
      <c r="G379" s="18"/>
      <c r="H379" s="17"/>
      <c r="I379" s="17"/>
      <c r="J379" s="19"/>
      <c r="K379" s="23" t="str">
        <f>IF(A379="","",IF(G379&lt;&gt;"","Resolvida",IF(F379&lt;DataRef,"Vencida","No prazo")))</f>
        <v/>
      </c>
    </row>
    <row r="380" spans="1:11" x14ac:dyDescent="0.25">
      <c r="A380" s="19"/>
      <c r="B380" s="21"/>
      <c r="C380" s="18"/>
      <c r="D380" s="19"/>
      <c r="E380" s="21"/>
      <c r="F380" s="18"/>
      <c r="G380" s="18"/>
      <c r="H380" s="17"/>
      <c r="I380" s="17"/>
      <c r="J380" s="19"/>
      <c r="K380" s="23" t="str">
        <f>IF(A380="","",IF(G380&lt;&gt;"","Resolvida",IF(F380&lt;DataRef,"Vencida","No prazo")))</f>
        <v/>
      </c>
    </row>
    <row r="381" spans="1:11" x14ac:dyDescent="0.25">
      <c r="A381" s="19"/>
      <c r="B381" s="21"/>
      <c r="C381" s="18"/>
      <c r="D381" s="19"/>
      <c r="E381" s="21"/>
      <c r="F381" s="18"/>
      <c r="G381" s="18"/>
      <c r="H381" s="17"/>
      <c r="I381" s="17"/>
      <c r="J381" s="19"/>
      <c r="K381" s="23" t="str">
        <f>IF(A381="","",IF(G381&lt;&gt;"","Resolvida",IF(F381&lt;DataRef,"Vencida","No prazo")))</f>
        <v/>
      </c>
    </row>
    <row r="382" spans="1:11" x14ac:dyDescent="0.25">
      <c r="A382" s="19"/>
      <c r="B382" s="21"/>
      <c r="C382" s="18"/>
      <c r="D382" s="19"/>
      <c r="E382" s="21"/>
      <c r="F382" s="18"/>
      <c r="G382" s="18"/>
      <c r="H382" s="17"/>
      <c r="I382" s="17"/>
      <c r="J382" s="19"/>
      <c r="K382" s="23" t="str">
        <f>IF(A382="","",IF(G382&lt;&gt;"","Resolvida",IF(F382&lt;DataRef,"Vencida","No prazo")))</f>
        <v/>
      </c>
    </row>
    <row r="383" spans="1:11" x14ac:dyDescent="0.25">
      <c r="A383" s="19"/>
      <c r="B383" s="21"/>
      <c r="C383" s="18"/>
      <c r="D383" s="19"/>
      <c r="E383" s="21"/>
      <c r="F383" s="18"/>
      <c r="G383" s="18"/>
      <c r="H383" s="17"/>
      <c r="I383" s="17"/>
      <c r="J383" s="19"/>
      <c r="K383" s="23" t="str">
        <f>IF(A383="","",IF(G383&lt;&gt;"","Resolvida",IF(F383&lt;DataRef,"Vencida","No prazo")))</f>
        <v/>
      </c>
    </row>
    <row r="384" spans="1:11" x14ac:dyDescent="0.25">
      <c r="A384" s="19"/>
      <c r="B384" s="21"/>
      <c r="C384" s="18"/>
      <c r="D384" s="19"/>
      <c r="E384" s="21"/>
      <c r="F384" s="18"/>
      <c r="G384" s="18"/>
      <c r="H384" s="17"/>
      <c r="I384" s="17"/>
      <c r="J384" s="19"/>
      <c r="K384" s="23" t="str">
        <f>IF(A384="","",IF(G384&lt;&gt;"","Resolvida",IF(F384&lt;DataRef,"Vencida","No prazo")))</f>
        <v/>
      </c>
    </row>
    <row r="385" spans="1:11" x14ac:dyDescent="0.25">
      <c r="A385" s="19"/>
      <c r="B385" s="21"/>
      <c r="C385" s="18"/>
      <c r="D385" s="19"/>
      <c r="E385" s="21"/>
      <c r="F385" s="18"/>
      <c r="G385" s="18"/>
      <c r="H385" s="17"/>
      <c r="I385" s="17"/>
      <c r="J385" s="19"/>
      <c r="K385" s="23" t="str">
        <f>IF(A385="","",IF(G385&lt;&gt;"","Resolvida",IF(F385&lt;DataRef,"Vencida","No prazo")))</f>
        <v/>
      </c>
    </row>
    <row r="386" spans="1:11" x14ac:dyDescent="0.25">
      <c r="A386" s="19"/>
      <c r="B386" s="21"/>
      <c r="C386" s="18"/>
      <c r="D386" s="19"/>
      <c r="E386" s="21"/>
      <c r="F386" s="18"/>
      <c r="G386" s="18"/>
      <c r="H386" s="17"/>
      <c r="I386" s="17"/>
      <c r="J386" s="19"/>
      <c r="K386" s="23" t="str">
        <f>IF(A386="","",IF(G386&lt;&gt;"","Resolvida",IF(F386&lt;DataRef,"Vencida","No prazo")))</f>
        <v/>
      </c>
    </row>
    <row r="387" spans="1:11" x14ac:dyDescent="0.25">
      <c r="A387" s="19"/>
      <c r="B387" s="21"/>
      <c r="C387" s="18"/>
      <c r="D387" s="19"/>
      <c r="E387" s="21"/>
      <c r="F387" s="18"/>
      <c r="G387" s="18"/>
      <c r="H387" s="17"/>
      <c r="I387" s="17"/>
      <c r="J387" s="19"/>
      <c r="K387" s="23" t="str">
        <f>IF(A387="","",IF(G387&lt;&gt;"","Resolvida",IF(F387&lt;DataRef,"Vencida","No prazo")))</f>
        <v/>
      </c>
    </row>
    <row r="388" spans="1:11" x14ac:dyDescent="0.25">
      <c r="A388" s="19"/>
      <c r="B388" s="21"/>
      <c r="C388" s="18"/>
      <c r="D388" s="19"/>
      <c r="E388" s="21"/>
      <c r="F388" s="18"/>
      <c r="G388" s="18"/>
      <c r="H388" s="17"/>
      <c r="I388" s="17"/>
      <c r="J388" s="19"/>
      <c r="K388" s="23" t="str">
        <f>IF(A388="","",IF(G388&lt;&gt;"","Resolvida",IF(F388&lt;DataRef,"Vencida","No prazo")))</f>
        <v/>
      </c>
    </row>
    <row r="389" spans="1:11" x14ac:dyDescent="0.25">
      <c r="A389" s="19"/>
      <c r="B389" s="21"/>
      <c r="C389" s="18"/>
      <c r="D389" s="19"/>
      <c r="E389" s="21"/>
      <c r="F389" s="18"/>
      <c r="G389" s="18"/>
      <c r="H389" s="17"/>
      <c r="I389" s="17"/>
      <c r="J389" s="19"/>
      <c r="K389" s="23" t="str">
        <f>IF(A389="","",IF(G389&lt;&gt;"","Resolvida",IF(F389&lt;DataRef,"Vencida","No prazo")))</f>
        <v/>
      </c>
    </row>
    <row r="390" spans="1:11" x14ac:dyDescent="0.25">
      <c r="A390" s="19"/>
      <c r="B390" s="21"/>
      <c r="C390" s="18"/>
      <c r="D390" s="19"/>
      <c r="E390" s="21"/>
      <c r="F390" s="18"/>
      <c r="G390" s="18"/>
      <c r="H390" s="17"/>
      <c r="I390" s="17"/>
      <c r="J390" s="19"/>
      <c r="K390" s="23" t="str">
        <f>IF(A390="","",IF(G390&lt;&gt;"","Resolvida",IF(F390&lt;DataRef,"Vencida","No prazo")))</f>
        <v/>
      </c>
    </row>
    <row r="391" spans="1:11" x14ac:dyDescent="0.25">
      <c r="A391" s="19"/>
      <c r="B391" s="21"/>
      <c r="C391" s="18"/>
      <c r="D391" s="19"/>
      <c r="E391" s="21"/>
      <c r="F391" s="18"/>
      <c r="G391" s="18"/>
      <c r="H391" s="17"/>
      <c r="I391" s="17"/>
      <c r="J391" s="19"/>
      <c r="K391" s="23" t="str">
        <f>IF(A391="","",IF(G391&lt;&gt;"","Resolvida",IF(F391&lt;DataRef,"Vencida","No prazo")))</f>
        <v/>
      </c>
    </row>
    <row r="392" spans="1:11" x14ac:dyDescent="0.25">
      <c r="A392" s="19"/>
      <c r="B392" s="21"/>
      <c r="C392" s="18"/>
      <c r="D392" s="19"/>
      <c r="E392" s="21"/>
      <c r="F392" s="18"/>
      <c r="G392" s="18"/>
      <c r="H392" s="17"/>
      <c r="I392" s="17"/>
      <c r="J392" s="19"/>
      <c r="K392" s="23" t="str">
        <f>IF(A392="","",IF(G392&lt;&gt;"","Resolvida",IF(F392&lt;DataRef,"Vencida","No prazo")))</f>
        <v/>
      </c>
    </row>
    <row r="393" spans="1:11" x14ac:dyDescent="0.25">
      <c r="A393" s="19"/>
      <c r="B393" s="21"/>
      <c r="C393" s="18"/>
      <c r="D393" s="19"/>
      <c r="E393" s="21"/>
      <c r="F393" s="18"/>
      <c r="G393" s="18"/>
      <c r="H393" s="17"/>
      <c r="I393" s="17"/>
      <c r="J393" s="19"/>
      <c r="K393" s="23" t="str">
        <f>IF(A393="","",IF(G393&lt;&gt;"","Resolvida",IF(F393&lt;DataRef,"Vencida","No prazo")))</f>
        <v/>
      </c>
    </row>
    <row r="394" spans="1:11" x14ac:dyDescent="0.25">
      <c r="A394" s="19"/>
      <c r="B394" s="21"/>
      <c r="C394" s="18"/>
      <c r="D394" s="19"/>
      <c r="E394" s="21"/>
      <c r="F394" s="18"/>
      <c r="G394" s="18"/>
      <c r="H394" s="17"/>
      <c r="I394" s="17"/>
      <c r="J394" s="19"/>
      <c r="K394" s="23" t="str">
        <f>IF(A394="","",IF(G394&lt;&gt;"","Resolvida",IF(F394&lt;DataRef,"Vencida","No prazo")))</f>
        <v/>
      </c>
    </row>
    <row r="395" spans="1:11" x14ac:dyDescent="0.25">
      <c r="A395" s="19"/>
      <c r="B395" s="21"/>
      <c r="C395" s="18"/>
      <c r="D395" s="19"/>
      <c r="E395" s="21"/>
      <c r="F395" s="18"/>
      <c r="G395" s="18"/>
      <c r="H395" s="17"/>
      <c r="I395" s="17"/>
      <c r="J395" s="19"/>
      <c r="K395" s="23" t="str">
        <f>IF(A395="","",IF(G395&lt;&gt;"","Resolvida",IF(F395&lt;DataRef,"Vencida","No prazo")))</f>
        <v/>
      </c>
    </row>
    <row r="396" spans="1:11" x14ac:dyDescent="0.25">
      <c r="A396" s="19"/>
      <c r="B396" s="21"/>
      <c r="C396" s="18"/>
      <c r="D396" s="19"/>
      <c r="E396" s="21"/>
      <c r="F396" s="18"/>
      <c r="G396" s="18"/>
      <c r="H396" s="17"/>
      <c r="I396" s="17"/>
      <c r="J396" s="19"/>
      <c r="K396" s="23" t="str">
        <f>IF(A396="","",IF(G396&lt;&gt;"","Resolvida",IF(F396&lt;DataRef,"Vencida","No prazo")))</f>
        <v/>
      </c>
    </row>
    <row r="397" spans="1:11" x14ac:dyDescent="0.25">
      <c r="A397" s="19"/>
      <c r="B397" s="21"/>
      <c r="C397" s="18"/>
      <c r="D397" s="19"/>
      <c r="E397" s="21"/>
      <c r="F397" s="18"/>
      <c r="G397" s="18"/>
      <c r="H397" s="17"/>
      <c r="I397" s="17"/>
      <c r="J397" s="19"/>
      <c r="K397" s="23" t="str">
        <f>IF(A397="","",IF(G397&lt;&gt;"","Resolvida",IF(F397&lt;DataRef,"Vencida","No prazo")))</f>
        <v/>
      </c>
    </row>
    <row r="398" spans="1:11" x14ac:dyDescent="0.25">
      <c r="A398" s="19"/>
      <c r="B398" s="21"/>
      <c r="C398" s="18"/>
      <c r="D398" s="19"/>
      <c r="E398" s="21"/>
      <c r="F398" s="18"/>
      <c r="G398" s="18"/>
      <c r="H398" s="17"/>
      <c r="I398" s="17"/>
      <c r="J398" s="19"/>
      <c r="K398" s="23" t="str">
        <f>IF(A398="","",IF(G398&lt;&gt;"","Resolvida",IF(F398&lt;DataRef,"Vencida","No prazo")))</f>
        <v/>
      </c>
    </row>
    <row r="399" spans="1:11" x14ac:dyDescent="0.25">
      <c r="A399" s="19"/>
      <c r="B399" s="21"/>
      <c r="C399" s="18"/>
      <c r="D399" s="19"/>
      <c r="E399" s="21"/>
      <c r="F399" s="18"/>
      <c r="G399" s="18"/>
      <c r="H399" s="17"/>
      <c r="I399" s="17"/>
      <c r="J399" s="19"/>
      <c r="K399" s="23" t="str">
        <f>IF(A399="","",IF(G399&lt;&gt;"","Resolvida",IF(F399&lt;DataRef,"Vencida","No prazo")))</f>
        <v/>
      </c>
    </row>
    <row r="400" spans="1:11" x14ac:dyDescent="0.25">
      <c r="A400" s="19"/>
      <c r="B400" s="21"/>
      <c r="C400" s="18"/>
      <c r="D400" s="19"/>
      <c r="E400" s="21"/>
      <c r="F400" s="18"/>
      <c r="G400" s="18"/>
      <c r="H400" s="17"/>
      <c r="I400" s="17"/>
      <c r="J400" s="19"/>
      <c r="K400" s="23" t="str">
        <f>IF(A400="","",IF(G400&lt;&gt;"","Resolvida",IF(F400&lt;DataRef,"Vencida","No prazo")))</f>
        <v/>
      </c>
    </row>
    <row r="401" spans="1:11" x14ac:dyDescent="0.25">
      <c r="A401" s="19"/>
      <c r="B401" s="21"/>
      <c r="C401" s="18"/>
      <c r="D401" s="19"/>
      <c r="E401" s="21"/>
      <c r="F401" s="18"/>
      <c r="G401" s="18"/>
      <c r="H401" s="17"/>
      <c r="I401" s="17"/>
      <c r="J401" s="19"/>
      <c r="K401" s="23" t="str">
        <f>IF(A401="","",IF(G401&lt;&gt;"","Resolvida",IF(F401&lt;DataRef,"Vencida","No prazo")))</f>
        <v/>
      </c>
    </row>
    <row r="402" spans="1:11" x14ac:dyDescent="0.25">
      <c r="A402" s="19"/>
      <c r="B402" s="21"/>
      <c r="C402" s="18"/>
      <c r="D402" s="19"/>
      <c r="E402" s="21"/>
      <c r="F402" s="18"/>
      <c r="G402" s="18"/>
      <c r="H402" s="17"/>
      <c r="I402" s="17"/>
      <c r="J402" s="19"/>
      <c r="K402" s="23" t="str">
        <f>IF(A402="","",IF(G402&lt;&gt;"","Resolvida",IF(F402&lt;DataRef,"Vencida","No prazo")))</f>
        <v/>
      </c>
    </row>
    <row r="403" spans="1:11" x14ac:dyDescent="0.25">
      <c r="A403" s="19"/>
      <c r="B403" s="21"/>
      <c r="C403" s="18"/>
      <c r="D403" s="19"/>
      <c r="E403" s="21"/>
      <c r="F403" s="18"/>
      <c r="G403" s="18"/>
      <c r="H403" s="17"/>
      <c r="I403" s="17"/>
      <c r="J403" s="19"/>
      <c r="K403" s="23" t="str">
        <f>IF(A403="","",IF(G403&lt;&gt;"","Resolvida",IF(F403&lt;DataRef,"Vencida","No prazo")))</f>
        <v/>
      </c>
    </row>
    <row r="404" spans="1:11" x14ac:dyDescent="0.25">
      <c r="A404" s="19"/>
      <c r="B404" s="21"/>
      <c r="C404" s="18"/>
      <c r="D404" s="19"/>
      <c r="E404" s="21"/>
      <c r="F404" s="18"/>
      <c r="G404" s="18"/>
      <c r="H404" s="17"/>
      <c r="I404" s="17"/>
      <c r="J404" s="19"/>
      <c r="K404" s="23" t="str">
        <f>IF(A404="","",IF(G404&lt;&gt;"","Resolvida",IF(F404&lt;DataRef,"Vencida","No prazo")))</f>
        <v/>
      </c>
    </row>
    <row r="405" spans="1:11" x14ac:dyDescent="0.25">
      <c r="A405" s="19"/>
      <c r="B405" s="21"/>
      <c r="C405" s="18"/>
      <c r="D405" s="19"/>
      <c r="E405" s="21"/>
      <c r="F405" s="18"/>
      <c r="G405" s="18"/>
      <c r="H405" s="17"/>
      <c r="I405" s="17"/>
      <c r="J405" s="19"/>
      <c r="K405" s="23" t="str">
        <f>IF(A405="","",IF(G405&lt;&gt;"","Resolvida",IF(F405&lt;DataRef,"Vencida","No prazo")))</f>
        <v/>
      </c>
    </row>
    <row r="406" spans="1:11" x14ac:dyDescent="0.25">
      <c r="A406" s="19"/>
      <c r="B406" s="21"/>
      <c r="C406" s="18"/>
      <c r="D406" s="19"/>
      <c r="E406" s="21"/>
      <c r="F406" s="18"/>
      <c r="G406" s="18"/>
      <c r="H406" s="17"/>
      <c r="I406" s="17"/>
      <c r="J406" s="19"/>
      <c r="K406" s="23" t="str">
        <f>IF(A406="","",IF(G406&lt;&gt;"","Resolvida",IF(F406&lt;DataRef,"Vencida","No prazo")))</f>
        <v/>
      </c>
    </row>
    <row r="407" spans="1:11" x14ac:dyDescent="0.25">
      <c r="A407" s="19"/>
      <c r="B407" s="21"/>
      <c r="C407" s="18"/>
      <c r="D407" s="19"/>
      <c r="E407" s="21"/>
      <c r="F407" s="18"/>
      <c r="G407" s="18"/>
      <c r="H407" s="17"/>
      <c r="I407" s="17"/>
      <c r="J407" s="19"/>
      <c r="K407" s="23" t="str">
        <f>IF(A407="","",IF(G407&lt;&gt;"","Resolvida",IF(F407&lt;DataRef,"Vencida","No prazo")))</f>
        <v/>
      </c>
    </row>
    <row r="408" spans="1:11" x14ac:dyDescent="0.25">
      <c r="A408" s="19"/>
      <c r="B408" s="21"/>
      <c r="C408" s="18"/>
      <c r="D408" s="19"/>
      <c r="E408" s="21"/>
      <c r="F408" s="18"/>
      <c r="G408" s="18"/>
      <c r="H408" s="17"/>
      <c r="I408" s="17"/>
      <c r="J408" s="19"/>
      <c r="K408" s="23" t="str">
        <f>IF(A408="","",IF(G408&lt;&gt;"","Resolvida",IF(F408&lt;DataRef,"Vencida","No prazo")))</f>
        <v/>
      </c>
    </row>
    <row r="409" spans="1:11" x14ac:dyDescent="0.25">
      <c r="A409" s="19"/>
      <c r="B409" s="21"/>
      <c r="C409" s="18"/>
      <c r="D409" s="19"/>
      <c r="E409" s="21"/>
      <c r="F409" s="18"/>
      <c r="G409" s="18"/>
      <c r="H409" s="17"/>
      <c r="I409" s="17"/>
      <c r="J409" s="19"/>
      <c r="K409" s="23" t="str">
        <f>IF(A409="","",IF(G409&lt;&gt;"","Resolvida",IF(F409&lt;DataRef,"Vencida","No prazo")))</f>
        <v/>
      </c>
    </row>
    <row r="410" spans="1:11" x14ac:dyDescent="0.25">
      <c r="A410" s="19"/>
      <c r="B410" s="21"/>
      <c r="C410" s="18"/>
      <c r="D410" s="19"/>
      <c r="E410" s="21"/>
      <c r="F410" s="18"/>
      <c r="G410" s="18"/>
      <c r="H410" s="17"/>
      <c r="I410" s="17"/>
      <c r="J410" s="19"/>
      <c r="K410" s="23" t="str">
        <f>IF(A410="","",IF(G410&lt;&gt;"","Resolvida",IF(F410&lt;DataRef,"Vencida","No prazo")))</f>
        <v/>
      </c>
    </row>
    <row r="411" spans="1:11" x14ac:dyDescent="0.25">
      <c r="A411" s="19"/>
      <c r="B411" s="21"/>
      <c r="C411" s="18"/>
      <c r="D411" s="19"/>
      <c r="E411" s="21"/>
      <c r="F411" s="18"/>
      <c r="G411" s="18"/>
      <c r="H411" s="17"/>
      <c r="I411" s="17"/>
      <c r="J411" s="19"/>
      <c r="K411" s="23" t="str">
        <f>IF(A411="","",IF(G411&lt;&gt;"","Resolvida",IF(F411&lt;DataRef,"Vencida","No prazo")))</f>
        <v/>
      </c>
    </row>
    <row r="412" spans="1:11" x14ac:dyDescent="0.25">
      <c r="A412" s="19"/>
      <c r="B412" s="21"/>
      <c r="C412" s="18"/>
      <c r="D412" s="19"/>
      <c r="E412" s="21"/>
      <c r="F412" s="18"/>
      <c r="G412" s="18"/>
      <c r="H412" s="17"/>
      <c r="I412" s="17"/>
      <c r="J412" s="19"/>
      <c r="K412" s="23" t="str">
        <f>IF(A412="","",IF(G412&lt;&gt;"","Resolvida",IF(F412&lt;DataRef,"Vencida","No prazo")))</f>
        <v/>
      </c>
    </row>
    <row r="413" spans="1:11" x14ac:dyDescent="0.25">
      <c r="A413" s="19"/>
      <c r="B413" s="21"/>
      <c r="C413" s="18"/>
      <c r="D413" s="19"/>
      <c r="E413" s="21"/>
      <c r="F413" s="18"/>
      <c r="G413" s="18"/>
      <c r="H413" s="17"/>
      <c r="I413" s="17"/>
      <c r="J413" s="19"/>
      <c r="K413" s="23" t="str">
        <f>IF(A413="","",IF(G413&lt;&gt;"","Resolvida",IF(F413&lt;DataRef,"Vencida","No prazo")))</f>
        <v/>
      </c>
    </row>
    <row r="414" spans="1:11" x14ac:dyDescent="0.25">
      <c r="A414" s="19"/>
      <c r="B414" s="21"/>
      <c r="C414" s="18"/>
      <c r="D414" s="19"/>
      <c r="E414" s="21"/>
      <c r="F414" s="18"/>
      <c r="G414" s="18"/>
      <c r="H414" s="17"/>
      <c r="I414" s="17"/>
      <c r="J414" s="19"/>
      <c r="K414" s="23" t="str">
        <f>IF(A414="","",IF(G414&lt;&gt;"","Resolvida",IF(F414&lt;DataRef,"Vencida","No prazo")))</f>
        <v/>
      </c>
    </row>
    <row r="415" spans="1:11" x14ac:dyDescent="0.25">
      <c r="A415" s="19"/>
      <c r="B415" s="21"/>
      <c r="C415" s="18"/>
      <c r="D415" s="19"/>
      <c r="E415" s="21"/>
      <c r="F415" s="18"/>
      <c r="G415" s="18"/>
      <c r="H415" s="17"/>
      <c r="I415" s="17"/>
      <c r="J415" s="19"/>
      <c r="K415" s="23" t="str">
        <f>IF(A415="","",IF(G415&lt;&gt;"","Resolvida",IF(F415&lt;DataRef,"Vencida","No prazo")))</f>
        <v/>
      </c>
    </row>
    <row r="416" spans="1:11" x14ac:dyDescent="0.25">
      <c r="A416" s="19"/>
      <c r="B416" s="21"/>
      <c r="C416" s="18"/>
      <c r="D416" s="19"/>
      <c r="E416" s="21"/>
      <c r="F416" s="18"/>
      <c r="G416" s="18"/>
      <c r="H416" s="17"/>
      <c r="I416" s="17"/>
      <c r="J416" s="19"/>
      <c r="K416" s="23" t="str">
        <f>IF(A416="","",IF(G416&lt;&gt;"","Resolvida",IF(F416&lt;DataRef,"Vencida","No prazo")))</f>
        <v/>
      </c>
    </row>
    <row r="417" spans="1:11" x14ac:dyDescent="0.25">
      <c r="A417" s="19"/>
      <c r="B417" s="21"/>
      <c r="C417" s="18"/>
      <c r="D417" s="19"/>
      <c r="E417" s="21"/>
      <c r="F417" s="18"/>
      <c r="G417" s="18"/>
      <c r="H417" s="17"/>
      <c r="I417" s="17"/>
      <c r="J417" s="19"/>
      <c r="K417" s="23" t="str">
        <f>IF(A417="","",IF(G417&lt;&gt;"","Resolvida",IF(F417&lt;DataRef,"Vencida","No prazo")))</f>
        <v/>
      </c>
    </row>
    <row r="418" spans="1:11" x14ac:dyDescent="0.25">
      <c r="A418" s="19"/>
      <c r="B418" s="21"/>
      <c r="C418" s="18"/>
      <c r="D418" s="19"/>
      <c r="E418" s="21"/>
      <c r="F418" s="18"/>
      <c r="G418" s="18"/>
      <c r="H418" s="17"/>
      <c r="I418" s="17"/>
      <c r="J418" s="19"/>
      <c r="K418" s="23" t="str">
        <f>IF(A418="","",IF(G418&lt;&gt;"","Resolvida",IF(F418&lt;DataRef,"Vencida","No prazo")))</f>
        <v/>
      </c>
    </row>
    <row r="419" spans="1:11" x14ac:dyDescent="0.25">
      <c r="A419" s="19"/>
      <c r="B419" s="21"/>
      <c r="C419" s="18"/>
      <c r="D419" s="19"/>
      <c r="E419" s="21"/>
      <c r="F419" s="18"/>
      <c r="G419" s="18"/>
      <c r="H419" s="17"/>
      <c r="I419" s="17"/>
      <c r="J419" s="19"/>
      <c r="K419" s="23" t="str">
        <f>IF(A419="","",IF(G419&lt;&gt;"","Resolvida",IF(F419&lt;DataRef,"Vencida","No prazo")))</f>
        <v/>
      </c>
    </row>
    <row r="420" spans="1:11" x14ac:dyDescent="0.25">
      <c r="A420" s="19"/>
      <c r="B420" s="21"/>
      <c r="C420" s="18"/>
      <c r="D420" s="19"/>
      <c r="E420" s="21"/>
      <c r="F420" s="18"/>
      <c r="G420" s="18"/>
      <c r="H420" s="17"/>
      <c r="I420" s="17"/>
      <c r="J420" s="19"/>
      <c r="K420" s="23" t="str">
        <f>IF(A420="","",IF(G420&lt;&gt;"","Resolvida",IF(F420&lt;DataRef,"Vencida","No prazo")))</f>
        <v/>
      </c>
    </row>
    <row r="421" spans="1:11" x14ac:dyDescent="0.25">
      <c r="A421" s="19"/>
      <c r="B421" s="21"/>
      <c r="C421" s="18"/>
      <c r="D421" s="19"/>
      <c r="E421" s="21"/>
      <c r="F421" s="18"/>
      <c r="G421" s="18"/>
      <c r="H421" s="17"/>
      <c r="I421" s="17"/>
      <c r="J421" s="19"/>
      <c r="K421" s="23" t="str">
        <f>IF(A421="","",IF(G421&lt;&gt;"","Resolvida",IF(F421&lt;DataRef,"Vencida","No prazo")))</f>
        <v/>
      </c>
    </row>
    <row r="422" spans="1:11" x14ac:dyDescent="0.25">
      <c r="A422" s="19"/>
      <c r="B422" s="21"/>
      <c r="C422" s="18"/>
      <c r="D422" s="19"/>
      <c r="E422" s="21"/>
      <c r="F422" s="18"/>
      <c r="G422" s="18"/>
      <c r="H422" s="17"/>
      <c r="I422" s="17"/>
      <c r="J422" s="19"/>
      <c r="K422" s="23" t="str">
        <f>IF(A422="","",IF(G422&lt;&gt;"","Resolvida",IF(F422&lt;DataRef,"Vencida","No prazo")))</f>
        <v/>
      </c>
    </row>
    <row r="423" spans="1:11" x14ac:dyDescent="0.25">
      <c r="A423" s="19"/>
      <c r="B423" s="21"/>
      <c r="C423" s="18"/>
      <c r="D423" s="19"/>
      <c r="E423" s="21"/>
      <c r="F423" s="18"/>
      <c r="G423" s="18"/>
      <c r="H423" s="17"/>
      <c r="I423" s="17"/>
      <c r="J423" s="19"/>
      <c r="K423" s="23" t="str">
        <f>IF(A423="","",IF(G423&lt;&gt;"","Resolvida",IF(F423&lt;DataRef,"Vencida","No prazo")))</f>
        <v/>
      </c>
    </row>
    <row r="424" spans="1:11" x14ac:dyDescent="0.25">
      <c r="A424" s="19"/>
      <c r="B424" s="21"/>
      <c r="C424" s="18"/>
      <c r="D424" s="19"/>
      <c r="E424" s="21"/>
      <c r="F424" s="18"/>
      <c r="G424" s="18"/>
      <c r="H424" s="17"/>
      <c r="I424" s="17"/>
      <c r="J424" s="19"/>
      <c r="K424" s="23" t="str">
        <f>IF(A424="","",IF(G424&lt;&gt;"","Resolvida",IF(F424&lt;DataRef,"Vencida","No prazo")))</f>
        <v/>
      </c>
    </row>
    <row r="425" spans="1:11" x14ac:dyDescent="0.25">
      <c r="A425" s="19"/>
      <c r="B425" s="21"/>
      <c r="C425" s="18"/>
      <c r="D425" s="19"/>
      <c r="E425" s="21"/>
      <c r="F425" s="18"/>
      <c r="G425" s="18"/>
      <c r="H425" s="17"/>
      <c r="I425" s="17"/>
      <c r="J425" s="19"/>
      <c r="K425" s="23" t="str">
        <f>IF(A425="","",IF(G425&lt;&gt;"","Resolvida",IF(F425&lt;DataRef,"Vencida","No prazo")))</f>
        <v/>
      </c>
    </row>
    <row r="426" spans="1:11" x14ac:dyDescent="0.25">
      <c r="A426" s="19"/>
      <c r="B426" s="21"/>
      <c r="C426" s="18"/>
      <c r="D426" s="19"/>
      <c r="E426" s="21"/>
      <c r="F426" s="18"/>
      <c r="G426" s="18"/>
      <c r="H426" s="17"/>
      <c r="I426" s="17"/>
      <c r="J426" s="19"/>
      <c r="K426" s="23" t="str">
        <f>IF(A426="","",IF(G426&lt;&gt;"","Resolvida",IF(F426&lt;DataRef,"Vencida","No prazo")))</f>
        <v/>
      </c>
    </row>
    <row r="427" spans="1:11" x14ac:dyDescent="0.25">
      <c r="A427" s="19"/>
      <c r="B427" s="21"/>
      <c r="C427" s="18"/>
      <c r="D427" s="19"/>
      <c r="E427" s="21"/>
      <c r="F427" s="18"/>
      <c r="G427" s="18"/>
      <c r="H427" s="17"/>
      <c r="I427" s="17"/>
      <c r="J427" s="19"/>
      <c r="K427" s="23" t="str">
        <f>IF(A427="","",IF(G427&lt;&gt;"","Resolvida",IF(F427&lt;DataRef,"Vencida","No prazo")))</f>
        <v/>
      </c>
    </row>
    <row r="428" spans="1:11" x14ac:dyDescent="0.25">
      <c r="A428" s="19"/>
      <c r="B428" s="21"/>
      <c r="C428" s="18"/>
      <c r="D428" s="19"/>
      <c r="E428" s="21"/>
      <c r="F428" s="18"/>
      <c r="G428" s="18"/>
      <c r="H428" s="17"/>
      <c r="I428" s="17"/>
      <c r="J428" s="19"/>
      <c r="K428" s="23" t="str">
        <f>IF(A428="","",IF(G428&lt;&gt;"","Resolvida",IF(F428&lt;DataRef,"Vencida","No prazo")))</f>
        <v/>
      </c>
    </row>
    <row r="429" spans="1:11" x14ac:dyDescent="0.25">
      <c r="A429" s="19"/>
      <c r="B429" s="21"/>
      <c r="C429" s="18"/>
      <c r="D429" s="19"/>
      <c r="E429" s="21"/>
      <c r="F429" s="18"/>
      <c r="G429" s="18"/>
      <c r="H429" s="17"/>
      <c r="I429" s="17"/>
      <c r="J429" s="19"/>
      <c r="K429" s="23" t="str">
        <f>IF(A429="","",IF(G429&lt;&gt;"","Resolvida",IF(F429&lt;DataRef,"Vencida","No prazo")))</f>
        <v/>
      </c>
    </row>
    <row r="430" spans="1:11" x14ac:dyDescent="0.25">
      <c r="A430" s="19"/>
      <c r="B430" s="21"/>
      <c r="C430" s="18"/>
      <c r="D430" s="19"/>
      <c r="E430" s="21"/>
      <c r="F430" s="18"/>
      <c r="G430" s="18"/>
      <c r="H430" s="17"/>
      <c r="I430" s="17"/>
      <c r="J430" s="19"/>
      <c r="K430" s="23" t="str">
        <f>IF(A430="","",IF(G430&lt;&gt;"","Resolvida",IF(F430&lt;DataRef,"Vencida","No prazo")))</f>
        <v/>
      </c>
    </row>
    <row r="431" spans="1:11" x14ac:dyDescent="0.25">
      <c r="A431" s="19"/>
      <c r="B431" s="21"/>
      <c r="C431" s="18"/>
      <c r="D431" s="19"/>
      <c r="E431" s="21"/>
      <c r="F431" s="18"/>
      <c r="G431" s="18"/>
      <c r="H431" s="17"/>
      <c r="I431" s="17"/>
      <c r="J431" s="19"/>
      <c r="K431" s="23" t="str">
        <f>IF(A431="","",IF(G431&lt;&gt;"","Resolvida",IF(F431&lt;DataRef,"Vencida","No prazo")))</f>
        <v/>
      </c>
    </row>
    <row r="432" spans="1:11" x14ac:dyDescent="0.25">
      <c r="A432" s="19"/>
      <c r="B432" s="21"/>
      <c r="C432" s="18"/>
      <c r="D432" s="19"/>
      <c r="E432" s="21"/>
      <c r="F432" s="18"/>
      <c r="G432" s="18"/>
      <c r="H432" s="17"/>
      <c r="I432" s="17"/>
      <c r="J432" s="19"/>
      <c r="K432" s="23" t="str">
        <f>IF(A432="","",IF(G432&lt;&gt;"","Resolvida",IF(F432&lt;DataRef,"Vencida","No prazo")))</f>
        <v/>
      </c>
    </row>
    <row r="433" spans="1:11" x14ac:dyDescent="0.25">
      <c r="A433" s="19"/>
      <c r="B433" s="21"/>
      <c r="C433" s="18"/>
      <c r="D433" s="19"/>
      <c r="E433" s="21"/>
      <c r="F433" s="18"/>
      <c r="G433" s="18"/>
      <c r="H433" s="17"/>
      <c r="I433" s="17"/>
      <c r="J433" s="19"/>
      <c r="K433" s="23" t="str">
        <f>IF(A433="","",IF(G433&lt;&gt;"","Resolvida",IF(F433&lt;DataRef,"Vencida","No prazo")))</f>
        <v/>
      </c>
    </row>
    <row r="434" spans="1:11" x14ac:dyDescent="0.25">
      <c r="A434" s="19"/>
      <c r="B434" s="21"/>
      <c r="C434" s="18"/>
      <c r="D434" s="19"/>
      <c r="E434" s="21"/>
      <c r="F434" s="18"/>
      <c r="G434" s="18"/>
      <c r="H434" s="17"/>
      <c r="I434" s="17"/>
      <c r="J434" s="19"/>
      <c r="K434" s="23" t="str">
        <f>IF(A434="","",IF(G434&lt;&gt;"","Resolvida",IF(F434&lt;DataRef,"Vencida","No prazo")))</f>
        <v/>
      </c>
    </row>
    <row r="435" spans="1:11" x14ac:dyDescent="0.25">
      <c r="A435" s="19"/>
      <c r="B435" s="21"/>
      <c r="C435" s="18"/>
      <c r="D435" s="19"/>
      <c r="E435" s="21"/>
      <c r="F435" s="18"/>
      <c r="G435" s="18"/>
      <c r="H435" s="17"/>
      <c r="I435" s="17"/>
      <c r="J435" s="19"/>
      <c r="K435" s="23" t="str">
        <f>IF(A435="","",IF(G435&lt;&gt;"","Resolvida",IF(F435&lt;DataRef,"Vencida","No prazo")))</f>
        <v/>
      </c>
    </row>
    <row r="436" spans="1:11" x14ac:dyDescent="0.25">
      <c r="A436" s="19"/>
      <c r="B436" s="21"/>
      <c r="C436" s="18"/>
      <c r="D436" s="19"/>
      <c r="E436" s="21"/>
      <c r="F436" s="18"/>
      <c r="G436" s="18"/>
      <c r="H436" s="17"/>
      <c r="I436" s="17"/>
      <c r="J436" s="19"/>
      <c r="K436" s="23" t="str">
        <f>IF(A436="","",IF(G436&lt;&gt;"","Resolvida",IF(F436&lt;DataRef,"Vencida","No prazo")))</f>
        <v/>
      </c>
    </row>
    <row r="437" spans="1:11" x14ac:dyDescent="0.25">
      <c r="A437" s="19"/>
      <c r="B437" s="21"/>
      <c r="C437" s="18"/>
      <c r="D437" s="19"/>
      <c r="E437" s="21"/>
      <c r="F437" s="18"/>
      <c r="G437" s="18"/>
      <c r="H437" s="17"/>
      <c r="I437" s="17"/>
      <c r="J437" s="19"/>
      <c r="K437" s="23" t="str">
        <f>IF(A437="","",IF(G437&lt;&gt;"","Resolvida",IF(F437&lt;DataRef,"Vencida","No prazo")))</f>
        <v/>
      </c>
    </row>
    <row r="438" spans="1:11" x14ac:dyDescent="0.25">
      <c r="A438" s="19"/>
      <c r="B438" s="21"/>
      <c r="C438" s="18"/>
      <c r="D438" s="19"/>
      <c r="E438" s="21"/>
      <c r="F438" s="18"/>
      <c r="G438" s="18"/>
      <c r="H438" s="17"/>
      <c r="I438" s="17"/>
      <c r="J438" s="19"/>
      <c r="K438" s="23" t="str">
        <f>IF(A438="","",IF(G438&lt;&gt;"","Resolvida",IF(F438&lt;DataRef,"Vencida","No prazo")))</f>
        <v/>
      </c>
    </row>
    <row r="439" spans="1:11" x14ac:dyDescent="0.25">
      <c r="A439" s="19"/>
      <c r="B439" s="21"/>
      <c r="C439" s="18"/>
      <c r="D439" s="19"/>
      <c r="E439" s="21"/>
      <c r="F439" s="18"/>
      <c r="G439" s="18"/>
      <c r="H439" s="17"/>
      <c r="I439" s="17"/>
      <c r="J439" s="19"/>
      <c r="K439" s="23" t="str">
        <f>IF(A439="","",IF(G439&lt;&gt;"","Resolvida",IF(F439&lt;DataRef,"Vencida","No prazo")))</f>
        <v/>
      </c>
    </row>
    <row r="440" spans="1:11" x14ac:dyDescent="0.25">
      <c r="A440" s="19"/>
      <c r="B440" s="21"/>
      <c r="C440" s="18"/>
      <c r="D440" s="19"/>
      <c r="E440" s="21"/>
      <c r="F440" s="18"/>
      <c r="G440" s="18"/>
      <c r="H440" s="17"/>
      <c r="I440" s="17"/>
      <c r="J440" s="19"/>
      <c r="K440" s="23" t="str">
        <f>IF(A440="","",IF(G440&lt;&gt;"","Resolvida",IF(F440&lt;DataRef,"Vencida","No prazo")))</f>
        <v/>
      </c>
    </row>
    <row r="441" spans="1:11" x14ac:dyDescent="0.25">
      <c r="A441" s="19"/>
      <c r="B441" s="21"/>
      <c r="C441" s="18"/>
      <c r="D441" s="19"/>
      <c r="E441" s="21"/>
      <c r="F441" s="18"/>
      <c r="G441" s="18"/>
      <c r="H441" s="17"/>
      <c r="I441" s="17"/>
      <c r="J441" s="19"/>
      <c r="K441" s="23" t="str">
        <f>IF(A441="","",IF(G441&lt;&gt;"","Resolvida",IF(F441&lt;DataRef,"Vencida","No prazo")))</f>
        <v/>
      </c>
    </row>
    <row r="442" spans="1:11" x14ac:dyDescent="0.25">
      <c r="A442" s="19"/>
      <c r="B442" s="21"/>
      <c r="C442" s="18"/>
      <c r="D442" s="19"/>
      <c r="E442" s="21"/>
      <c r="F442" s="18"/>
      <c r="G442" s="18"/>
      <c r="H442" s="17"/>
      <c r="I442" s="17"/>
      <c r="J442" s="19"/>
      <c r="K442" s="23" t="str">
        <f>IF(A442="","",IF(G442&lt;&gt;"","Resolvida",IF(F442&lt;DataRef,"Vencida","No prazo")))</f>
        <v/>
      </c>
    </row>
    <row r="443" spans="1:11" x14ac:dyDescent="0.25">
      <c r="A443" s="19"/>
      <c r="B443" s="21"/>
      <c r="C443" s="18"/>
      <c r="D443" s="19"/>
      <c r="E443" s="21"/>
      <c r="F443" s="18"/>
      <c r="G443" s="18"/>
      <c r="H443" s="17"/>
      <c r="I443" s="17"/>
      <c r="J443" s="19"/>
      <c r="K443" s="23" t="str">
        <f>IF(A443="","",IF(G443&lt;&gt;"","Resolvida",IF(F443&lt;DataRef,"Vencida","No prazo")))</f>
        <v/>
      </c>
    </row>
    <row r="444" spans="1:11" x14ac:dyDescent="0.25">
      <c r="A444" s="19"/>
      <c r="B444" s="21"/>
      <c r="C444" s="18"/>
      <c r="D444" s="19"/>
      <c r="E444" s="21"/>
      <c r="F444" s="18"/>
      <c r="G444" s="18"/>
      <c r="H444" s="17"/>
      <c r="I444" s="17"/>
      <c r="J444" s="19"/>
      <c r="K444" s="23" t="str">
        <f>IF(A444="","",IF(G444&lt;&gt;"","Resolvida",IF(F444&lt;DataRef,"Vencida","No prazo")))</f>
        <v/>
      </c>
    </row>
    <row r="445" spans="1:11" x14ac:dyDescent="0.25">
      <c r="A445" s="19"/>
      <c r="B445" s="21"/>
      <c r="C445" s="18"/>
      <c r="D445" s="19"/>
      <c r="E445" s="21"/>
      <c r="F445" s="18"/>
      <c r="G445" s="18"/>
      <c r="H445" s="17"/>
      <c r="I445" s="17"/>
      <c r="J445" s="19"/>
      <c r="K445" s="23" t="str">
        <f>IF(A445="","",IF(G445&lt;&gt;"","Resolvida",IF(F445&lt;DataRef,"Vencida","No prazo")))</f>
        <v/>
      </c>
    </row>
    <row r="446" spans="1:11" x14ac:dyDescent="0.25">
      <c r="A446" s="19"/>
      <c r="B446" s="21"/>
      <c r="C446" s="18"/>
      <c r="D446" s="19"/>
      <c r="E446" s="21"/>
      <c r="F446" s="18"/>
      <c r="G446" s="18"/>
      <c r="H446" s="17"/>
      <c r="I446" s="17"/>
      <c r="J446" s="19"/>
      <c r="K446" s="23" t="str">
        <f>IF(A446="","",IF(G446&lt;&gt;"","Resolvida",IF(F446&lt;DataRef,"Vencida","No prazo")))</f>
        <v/>
      </c>
    </row>
    <row r="447" spans="1:11" x14ac:dyDescent="0.25">
      <c r="A447" s="19"/>
      <c r="B447" s="21"/>
      <c r="C447" s="18"/>
      <c r="D447" s="19"/>
      <c r="E447" s="21"/>
      <c r="F447" s="18"/>
      <c r="G447" s="18"/>
      <c r="H447" s="17"/>
      <c r="I447" s="17"/>
      <c r="J447" s="19"/>
      <c r="K447" s="23" t="str">
        <f>IF(A447="","",IF(G447&lt;&gt;"","Resolvida",IF(F447&lt;DataRef,"Vencida","No prazo")))</f>
        <v/>
      </c>
    </row>
    <row r="448" spans="1:11" x14ac:dyDescent="0.25">
      <c r="A448" s="19"/>
      <c r="B448" s="21"/>
      <c r="C448" s="18"/>
      <c r="D448" s="19"/>
      <c r="E448" s="21"/>
      <c r="F448" s="18"/>
      <c r="G448" s="18"/>
      <c r="H448" s="17"/>
      <c r="I448" s="17"/>
      <c r="J448" s="19"/>
      <c r="K448" s="23" t="str">
        <f>IF(A448="","",IF(G448&lt;&gt;"","Resolvida",IF(F448&lt;DataRef,"Vencida","No prazo")))</f>
        <v/>
      </c>
    </row>
    <row r="449" spans="1:11" x14ac:dyDescent="0.25">
      <c r="A449" s="19"/>
      <c r="B449" s="21"/>
      <c r="C449" s="18"/>
      <c r="D449" s="19"/>
      <c r="E449" s="21"/>
      <c r="F449" s="18"/>
      <c r="G449" s="18"/>
      <c r="H449" s="17"/>
      <c r="I449" s="17"/>
      <c r="J449" s="19"/>
      <c r="K449" s="23" t="str">
        <f>IF(A449="","",IF(G449&lt;&gt;"","Resolvida",IF(F449&lt;DataRef,"Vencida","No prazo")))</f>
        <v/>
      </c>
    </row>
    <row r="450" spans="1:11" x14ac:dyDescent="0.25">
      <c r="A450" s="19"/>
      <c r="B450" s="21"/>
      <c r="C450" s="18"/>
      <c r="D450" s="19"/>
      <c r="E450" s="21"/>
      <c r="F450" s="18"/>
      <c r="G450" s="18"/>
      <c r="H450" s="17"/>
      <c r="I450" s="17"/>
      <c r="J450" s="19"/>
      <c r="K450" s="23" t="str">
        <f>IF(A450="","",IF(G450&lt;&gt;"","Resolvida",IF(F450&lt;DataRef,"Vencida","No prazo")))</f>
        <v/>
      </c>
    </row>
    <row r="451" spans="1:11" x14ac:dyDescent="0.25">
      <c r="A451" s="19"/>
      <c r="B451" s="21"/>
      <c r="C451" s="18"/>
      <c r="D451" s="19"/>
      <c r="E451" s="21"/>
      <c r="F451" s="18"/>
      <c r="G451" s="18"/>
      <c r="H451" s="17"/>
      <c r="I451" s="17"/>
      <c r="J451" s="19"/>
      <c r="K451" s="23" t="str">
        <f>IF(A451="","",IF(G451&lt;&gt;"","Resolvida",IF(F451&lt;DataRef,"Vencida","No prazo")))</f>
        <v/>
      </c>
    </row>
    <row r="452" spans="1:11" x14ac:dyDescent="0.25">
      <c r="A452" s="19"/>
      <c r="B452" s="21"/>
      <c r="C452" s="18"/>
      <c r="D452" s="19"/>
      <c r="E452" s="21"/>
      <c r="F452" s="18"/>
      <c r="G452" s="18"/>
      <c r="H452" s="17"/>
      <c r="I452" s="17"/>
      <c r="J452" s="19"/>
      <c r="K452" s="23" t="str">
        <f>IF(A452="","",IF(G452&lt;&gt;"","Resolvida",IF(F452&lt;DataRef,"Vencida","No prazo")))</f>
        <v/>
      </c>
    </row>
    <row r="453" spans="1:11" x14ac:dyDescent="0.25">
      <c r="A453" s="19"/>
      <c r="B453" s="21"/>
      <c r="C453" s="18"/>
      <c r="D453" s="19"/>
      <c r="E453" s="21"/>
      <c r="F453" s="18"/>
      <c r="G453" s="18"/>
      <c r="H453" s="17"/>
      <c r="I453" s="17"/>
      <c r="J453" s="19"/>
      <c r="K453" s="23" t="str">
        <f>IF(A453="","",IF(G453&lt;&gt;"","Resolvida",IF(F453&lt;DataRef,"Vencida","No prazo")))</f>
        <v/>
      </c>
    </row>
    <row r="454" spans="1:11" x14ac:dyDescent="0.25">
      <c r="A454" s="19"/>
      <c r="B454" s="21"/>
      <c r="C454" s="18"/>
      <c r="D454" s="19"/>
      <c r="E454" s="21"/>
      <c r="F454" s="18"/>
      <c r="G454" s="18"/>
      <c r="H454" s="17"/>
      <c r="I454" s="17"/>
      <c r="J454" s="19"/>
      <c r="K454" s="23" t="str">
        <f>IF(A454="","",IF(G454&lt;&gt;"","Resolvida",IF(F454&lt;DataRef,"Vencida","No prazo")))</f>
        <v/>
      </c>
    </row>
    <row r="455" spans="1:11" x14ac:dyDescent="0.25">
      <c r="A455" s="19"/>
      <c r="B455" s="21"/>
      <c r="C455" s="18"/>
      <c r="D455" s="19"/>
      <c r="E455" s="21"/>
      <c r="F455" s="18"/>
      <c r="G455" s="18"/>
      <c r="H455" s="17"/>
      <c r="I455" s="17"/>
      <c r="J455" s="19"/>
      <c r="K455" s="23" t="str">
        <f>IF(A455="","",IF(G455&lt;&gt;"","Resolvida",IF(F455&lt;DataRef,"Vencida","No prazo")))</f>
        <v/>
      </c>
    </row>
    <row r="456" spans="1:11" x14ac:dyDescent="0.25">
      <c r="A456" s="19"/>
      <c r="B456" s="21"/>
      <c r="C456" s="18"/>
      <c r="D456" s="19"/>
      <c r="E456" s="21"/>
      <c r="F456" s="18"/>
      <c r="G456" s="18"/>
      <c r="H456" s="17"/>
      <c r="I456" s="17"/>
      <c r="J456" s="19"/>
      <c r="K456" s="23" t="str">
        <f>IF(A456="","",IF(G456&lt;&gt;"","Resolvida",IF(F456&lt;DataRef,"Vencida","No prazo")))</f>
        <v/>
      </c>
    </row>
    <row r="457" spans="1:11" x14ac:dyDescent="0.25">
      <c r="A457" s="19"/>
      <c r="B457" s="21"/>
      <c r="C457" s="18"/>
      <c r="D457" s="19"/>
      <c r="E457" s="21"/>
      <c r="F457" s="18"/>
      <c r="G457" s="18"/>
      <c r="H457" s="17"/>
      <c r="I457" s="17"/>
      <c r="J457" s="19"/>
      <c r="K457" s="23" t="str">
        <f>IF(A457="","",IF(G457&lt;&gt;"","Resolvida",IF(F457&lt;DataRef,"Vencida","No prazo")))</f>
        <v/>
      </c>
    </row>
    <row r="458" spans="1:11" x14ac:dyDescent="0.25">
      <c r="A458" s="19"/>
      <c r="B458" s="21"/>
      <c r="C458" s="18"/>
      <c r="D458" s="19"/>
      <c r="E458" s="21"/>
      <c r="F458" s="18"/>
      <c r="G458" s="18"/>
      <c r="H458" s="17"/>
      <c r="I458" s="17"/>
      <c r="J458" s="19"/>
      <c r="K458" s="23" t="str">
        <f>IF(A458="","",IF(G458&lt;&gt;"","Resolvida",IF(F458&lt;DataRef,"Vencida","No prazo")))</f>
        <v/>
      </c>
    </row>
    <row r="459" spans="1:11" x14ac:dyDescent="0.25">
      <c r="A459" s="19"/>
      <c r="B459" s="21"/>
      <c r="C459" s="18"/>
      <c r="D459" s="19"/>
      <c r="E459" s="21"/>
      <c r="F459" s="18"/>
      <c r="G459" s="18"/>
      <c r="H459" s="17"/>
      <c r="I459" s="17"/>
      <c r="J459" s="19"/>
      <c r="K459" s="23" t="str">
        <f>IF(A459="","",IF(G459&lt;&gt;"","Resolvida",IF(F459&lt;DataRef,"Vencida","No prazo")))</f>
        <v/>
      </c>
    </row>
    <row r="460" spans="1:11" x14ac:dyDescent="0.25">
      <c r="A460" s="19"/>
      <c r="B460" s="21"/>
      <c r="C460" s="18"/>
      <c r="D460" s="19"/>
      <c r="E460" s="21"/>
      <c r="F460" s="18"/>
      <c r="G460" s="18"/>
      <c r="H460" s="17"/>
      <c r="I460" s="17"/>
      <c r="J460" s="19"/>
      <c r="K460" s="23" t="str">
        <f>IF(A460="","",IF(G460&lt;&gt;"","Resolvida",IF(F460&lt;DataRef,"Vencida","No prazo")))</f>
        <v/>
      </c>
    </row>
    <row r="461" spans="1:11" x14ac:dyDescent="0.25">
      <c r="A461" s="19"/>
      <c r="B461" s="21"/>
      <c r="C461" s="18"/>
      <c r="D461" s="19"/>
      <c r="E461" s="21"/>
      <c r="F461" s="18"/>
      <c r="G461" s="18"/>
      <c r="H461" s="17"/>
      <c r="I461" s="17"/>
      <c r="J461" s="19"/>
      <c r="K461" s="23" t="str">
        <f>IF(A461="","",IF(G461&lt;&gt;"","Resolvida",IF(F461&lt;DataRef,"Vencida","No prazo")))</f>
        <v/>
      </c>
    </row>
    <row r="462" spans="1:11" x14ac:dyDescent="0.25">
      <c r="A462" s="19"/>
      <c r="B462" s="21"/>
      <c r="C462" s="18"/>
      <c r="D462" s="19"/>
      <c r="E462" s="21"/>
      <c r="F462" s="18"/>
      <c r="G462" s="18"/>
      <c r="H462" s="17"/>
      <c r="I462" s="17"/>
      <c r="J462" s="19"/>
      <c r="K462" s="23" t="str">
        <f>IF(A462="","",IF(G462&lt;&gt;"","Resolvida",IF(F462&lt;DataRef,"Vencida","No prazo")))</f>
        <v/>
      </c>
    </row>
    <row r="463" spans="1:11" x14ac:dyDescent="0.25">
      <c r="A463" s="19"/>
      <c r="B463" s="21"/>
      <c r="C463" s="18"/>
      <c r="D463" s="19"/>
      <c r="E463" s="21"/>
      <c r="F463" s="18"/>
      <c r="G463" s="18"/>
      <c r="H463" s="17"/>
      <c r="I463" s="17"/>
      <c r="J463" s="19"/>
      <c r="K463" s="23" t="str">
        <f>IF(A463="","",IF(G463&lt;&gt;"","Resolvida",IF(F463&lt;DataRef,"Vencida","No prazo")))</f>
        <v/>
      </c>
    </row>
    <row r="464" spans="1:11" x14ac:dyDescent="0.25">
      <c r="A464" s="19"/>
      <c r="B464" s="21"/>
      <c r="C464" s="18"/>
      <c r="D464" s="19"/>
      <c r="E464" s="21"/>
      <c r="F464" s="18"/>
      <c r="G464" s="18"/>
      <c r="H464" s="17"/>
      <c r="I464" s="17"/>
      <c r="J464" s="19"/>
      <c r="K464" s="23" t="str">
        <f>IF(A464="","",IF(G464&lt;&gt;"","Resolvida",IF(F464&lt;DataRef,"Vencida","No prazo")))</f>
        <v/>
      </c>
    </row>
    <row r="465" spans="1:11" x14ac:dyDescent="0.25">
      <c r="A465" s="19"/>
      <c r="B465" s="21"/>
      <c r="C465" s="18"/>
      <c r="D465" s="19"/>
      <c r="E465" s="21"/>
      <c r="F465" s="18"/>
      <c r="G465" s="18"/>
      <c r="H465" s="17"/>
      <c r="I465" s="17"/>
      <c r="J465" s="19"/>
      <c r="K465" s="23" t="str">
        <f>IF(A465="","",IF(G465&lt;&gt;"","Resolvida",IF(F465&lt;DataRef,"Vencida","No prazo")))</f>
        <v/>
      </c>
    </row>
    <row r="466" spans="1:11" x14ac:dyDescent="0.25">
      <c r="A466" s="19"/>
      <c r="B466" s="21"/>
      <c r="C466" s="18"/>
      <c r="D466" s="19"/>
      <c r="E466" s="21"/>
      <c r="F466" s="18"/>
      <c r="G466" s="18"/>
      <c r="H466" s="17"/>
      <c r="I466" s="17"/>
      <c r="J466" s="19"/>
      <c r="K466" s="23" t="str">
        <f>IF(A466="","",IF(G466&lt;&gt;"","Resolvida",IF(F466&lt;DataRef,"Vencida","No prazo")))</f>
        <v/>
      </c>
    </row>
    <row r="467" spans="1:11" x14ac:dyDescent="0.25">
      <c r="A467" s="19"/>
      <c r="B467" s="21"/>
      <c r="C467" s="18"/>
      <c r="D467" s="19"/>
      <c r="E467" s="21"/>
      <c r="F467" s="18"/>
      <c r="G467" s="18"/>
      <c r="H467" s="17"/>
      <c r="I467" s="17"/>
      <c r="J467" s="19"/>
      <c r="K467" s="23" t="str">
        <f>IF(A467="","",IF(G467&lt;&gt;"","Resolvida",IF(F467&lt;DataRef,"Vencida","No prazo")))</f>
        <v/>
      </c>
    </row>
    <row r="468" spans="1:11" x14ac:dyDescent="0.25">
      <c r="A468" s="19"/>
      <c r="B468" s="21"/>
      <c r="C468" s="18"/>
      <c r="D468" s="19"/>
      <c r="E468" s="21"/>
      <c r="F468" s="18"/>
      <c r="G468" s="18"/>
      <c r="H468" s="17"/>
      <c r="I468" s="17"/>
      <c r="J468" s="19"/>
      <c r="K468" s="23" t="str">
        <f>IF(A468="","",IF(G468&lt;&gt;"","Resolvida",IF(F468&lt;DataRef,"Vencida","No prazo")))</f>
        <v/>
      </c>
    </row>
    <row r="469" spans="1:11" x14ac:dyDescent="0.25">
      <c r="A469" s="19"/>
      <c r="B469" s="21"/>
      <c r="C469" s="18"/>
      <c r="D469" s="19"/>
      <c r="E469" s="21"/>
      <c r="F469" s="18"/>
      <c r="G469" s="18"/>
      <c r="H469" s="17"/>
      <c r="I469" s="17"/>
      <c r="J469" s="19"/>
      <c r="K469" s="23" t="str">
        <f>IF(A469="","",IF(G469&lt;&gt;"","Resolvida",IF(F469&lt;DataRef,"Vencida","No prazo")))</f>
        <v/>
      </c>
    </row>
    <row r="470" spans="1:11" x14ac:dyDescent="0.25">
      <c r="A470" s="19"/>
      <c r="B470" s="21"/>
      <c r="C470" s="18"/>
      <c r="D470" s="19"/>
      <c r="E470" s="21"/>
      <c r="F470" s="18"/>
      <c r="G470" s="18"/>
      <c r="H470" s="17"/>
      <c r="I470" s="17"/>
      <c r="J470" s="19"/>
      <c r="K470" s="23" t="str">
        <f>IF(A470="","",IF(G470&lt;&gt;"","Resolvida",IF(F470&lt;DataRef,"Vencida","No prazo")))</f>
        <v/>
      </c>
    </row>
    <row r="471" spans="1:11" x14ac:dyDescent="0.25">
      <c r="A471" s="19"/>
      <c r="B471" s="21"/>
      <c r="C471" s="18"/>
      <c r="D471" s="19"/>
      <c r="E471" s="21"/>
      <c r="F471" s="18"/>
      <c r="G471" s="18"/>
      <c r="H471" s="17"/>
      <c r="I471" s="17"/>
      <c r="J471" s="19"/>
      <c r="K471" s="23" t="str">
        <f>IF(A471="","",IF(G471&lt;&gt;"","Resolvida",IF(F471&lt;DataRef,"Vencida","No prazo")))</f>
        <v/>
      </c>
    </row>
    <row r="472" spans="1:11" x14ac:dyDescent="0.25">
      <c r="A472" s="19"/>
      <c r="B472" s="21"/>
      <c r="C472" s="18"/>
      <c r="D472" s="19"/>
      <c r="E472" s="21"/>
      <c r="F472" s="18"/>
      <c r="G472" s="18"/>
      <c r="H472" s="17"/>
      <c r="I472" s="17"/>
      <c r="J472" s="19"/>
      <c r="K472" s="23" t="str">
        <f>IF(A472="","",IF(G472&lt;&gt;"","Resolvida",IF(F472&lt;DataRef,"Vencida","No prazo")))</f>
        <v/>
      </c>
    </row>
    <row r="473" spans="1:11" x14ac:dyDescent="0.25">
      <c r="A473" s="19"/>
      <c r="B473" s="21"/>
      <c r="C473" s="18"/>
      <c r="D473" s="19"/>
      <c r="E473" s="21"/>
      <c r="F473" s="18"/>
      <c r="G473" s="18"/>
      <c r="H473" s="17"/>
      <c r="I473" s="17"/>
      <c r="J473" s="19"/>
      <c r="K473" s="23" t="str">
        <f>IF(A473="","",IF(G473&lt;&gt;"","Resolvida",IF(F473&lt;DataRef,"Vencida","No prazo")))</f>
        <v/>
      </c>
    </row>
    <row r="474" spans="1:11" x14ac:dyDescent="0.25">
      <c r="A474" s="19"/>
      <c r="B474" s="21"/>
      <c r="C474" s="18"/>
      <c r="D474" s="19"/>
      <c r="E474" s="21"/>
      <c r="F474" s="18"/>
      <c r="G474" s="18"/>
      <c r="H474" s="17"/>
      <c r="I474" s="17"/>
      <c r="J474" s="19"/>
      <c r="K474" s="23" t="str">
        <f>IF(A474="","",IF(G474&lt;&gt;"","Resolvida",IF(F474&lt;DataRef,"Vencida","No prazo")))</f>
        <v/>
      </c>
    </row>
    <row r="475" spans="1:11" x14ac:dyDescent="0.25">
      <c r="A475" s="19"/>
      <c r="B475" s="21"/>
      <c r="C475" s="18"/>
      <c r="D475" s="19"/>
      <c r="E475" s="21"/>
      <c r="F475" s="18"/>
      <c r="G475" s="18"/>
      <c r="H475" s="17"/>
      <c r="I475" s="17"/>
      <c r="J475" s="19"/>
      <c r="K475" s="23" t="str">
        <f>IF(A475="","",IF(G475&lt;&gt;"","Resolvida",IF(F475&lt;DataRef,"Vencida","No prazo")))</f>
        <v/>
      </c>
    </row>
    <row r="476" spans="1:11" x14ac:dyDescent="0.25">
      <c r="A476" s="19"/>
      <c r="B476" s="21"/>
      <c r="C476" s="18"/>
      <c r="D476" s="19"/>
      <c r="E476" s="21"/>
      <c r="F476" s="18"/>
      <c r="G476" s="18"/>
      <c r="H476" s="17"/>
      <c r="I476" s="17"/>
      <c r="J476" s="19"/>
      <c r="K476" s="23" t="str">
        <f>IF(A476="","",IF(G476&lt;&gt;"","Resolvida",IF(F476&lt;DataRef,"Vencida","No prazo")))</f>
        <v/>
      </c>
    </row>
    <row r="477" spans="1:11" x14ac:dyDescent="0.25">
      <c r="A477" s="19"/>
      <c r="B477" s="21"/>
      <c r="C477" s="18"/>
      <c r="D477" s="19"/>
      <c r="E477" s="21"/>
      <c r="F477" s="18"/>
      <c r="G477" s="18"/>
      <c r="H477" s="17"/>
      <c r="I477" s="17"/>
      <c r="J477" s="19"/>
      <c r="K477" s="23" t="str">
        <f>IF(A477="","",IF(G477&lt;&gt;"","Resolvida",IF(F477&lt;DataRef,"Vencida","No prazo")))</f>
        <v/>
      </c>
    </row>
    <row r="478" spans="1:11" x14ac:dyDescent="0.25">
      <c r="A478" s="19"/>
      <c r="B478" s="21"/>
      <c r="C478" s="18"/>
      <c r="D478" s="19"/>
      <c r="E478" s="21"/>
      <c r="F478" s="18"/>
      <c r="G478" s="18"/>
      <c r="H478" s="17"/>
      <c r="I478" s="17"/>
      <c r="J478" s="19"/>
      <c r="K478" s="23" t="str">
        <f>IF(A478="","",IF(G478&lt;&gt;"","Resolvida",IF(F478&lt;DataRef,"Vencida","No prazo")))</f>
        <v/>
      </c>
    </row>
    <row r="479" spans="1:11" x14ac:dyDescent="0.25">
      <c r="A479" s="19"/>
      <c r="B479" s="21"/>
      <c r="C479" s="18"/>
      <c r="D479" s="19"/>
      <c r="E479" s="21"/>
      <c r="F479" s="18"/>
      <c r="G479" s="18"/>
      <c r="H479" s="17"/>
      <c r="I479" s="17"/>
      <c r="J479" s="19"/>
      <c r="K479" s="23" t="str">
        <f>IF(A479="","",IF(G479&lt;&gt;"","Resolvida",IF(F479&lt;DataRef,"Vencida","No prazo")))</f>
        <v/>
      </c>
    </row>
    <row r="480" spans="1:11" x14ac:dyDescent="0.25">
      <c r="A480" s="19"/>
      <c r="B480" s="21"/>
      <c r="C480" s="18"/>
      <c r="D480" s="19"/>
      <c r="E480" s="21"/>
      <c r="F480" s="18"/>
      <c r="G480" s="18"/>
      <c r="H480" s="17"/>
      <c r="I480" s="17"/>
      <c r="J480" s="19"/>
      <c r="K480" s="23" t="str">
        <f>IF(A480="","",IF(G480&lt;&gt;"","Resolvida",IF(F480&lt;DataRef,"Vencida","No prazo")))</f>
        <v/>
      </c>
    </row>
    <row r="481" spans="1:11" x14ac:dyDescent="0.25">
      <c r="A481" s="19"/>
      <c r="B481" s="21"/>
      <c r="C481" s="18"/>
      <c r="D481" s="19"/>
      <c r="E481" s="21"/>
      <c r="F481" s="18"/>
      <c r="G481" s="18"/>
      <c r="H481" s="17"/>
      <c r="I481" s="17"/>
      <c r="J481" s="19"/>
      <c r="K481" s="23" t="str">
        <f>IF(A481="","",IF(G481&lt;&gt;"","Resolvida",IF(F481&lt;DataRef,"Vencida","No prazo")))</f>
        <v/>
      </c>
    </row>
    <row r="482" spans="1:11" x14ac:dyDescent="0.25">
      <c r="A482" s="19"/>
      <c r="B482" s="21"/>
      <c r="C482" s="18"/>
      <c r="D482" s="19"/>
      <c r="E482" s="21"/>
      <c r="F482" s="18"/>
      <c r="G482" s="18"/>
      <c r="H482" s="17"/>
      <c r="I482" s="17"/>
      <c r="J482" s="19"/>
      <c r="K482" s="23" t="str">
        <f>IF(A482="","",IF(G482&lt;&gt;"","Resolvida",IF(F482&lt;DataRef,"Vencida","No prazo")))</f>
        <v/>
      </c>
    </row>
    <row r="483" spans="1:11" x14ac:dyDescent="0.25">
      <c r="A483" s="19"/>
      <c r="B483" s="21"/>
      <c r="C483" s="18"/>
      <c r="D483" s="19"/>
      <c r="E483" s="21"/>
      <c r="F483" s="18"/>
      <c r="G483" s="18"/>
      <c r="H483" s="17"/>
      <c r="I483" s="17"/>
      <c r="J483" s="19"/>
      <c r="K483" s="23" t="str">
        <f>IF(A483="","",IF(G483&lt;&gt;"","Resolvida",IF(F483&lt;DataRef,"Vencida","No prazo")))</f>
        <v/>
      </c>
    </row>
    <row r="484" spans="1:11" x14ac:dyDescent="0.25">
      <c r="A484" s="19"/>
      <c r="B484" s="21"/>
      <c r="C484" s="18"/>
      <c r="D484" s="19"/>
      <c r="E484" s="21"/>
      <c r="F484" s="18"/>
      <c r="G484" s="18"/>
      <c r="H484" s="17"/>
      <c r="I484" s="17"/>
      <c r="J484" s="19"/>
      <c r="K484" s="23" t="str">
        <f>IF(A484="","",IF(G484&lt;&gt;"","Resolvida",IF(F484&lt;DataRef,"Vencida","No prazo")))</f>
        <v/>
      </c>
    </row>
    <row r="485" spans="1:11" x14ac:dyDescent="0.25">
      <c r="A485" s="19"/>
      <c r="B485" s="21"/>
      <c r="C485" s="18"/>
      <c r="D485" s="19"/>
      <c r="E485" s="21"/>
      <c r="F485" s="18"/>
      <c r="G485" s="18"/>
      <c r="H485" s="17"/>
      <c r="I485" s="17"/>
      <c r="J485" s="19"/>
      <c r="K485" s="23" t="str">
        <f>IF(A485="","",IF(G485&lt;&gt;"","Resolvida",IF(F485&lt;DataRef,"Vencida","No prazo")))</f>
        <v/>
      </c>
    </row>
    <row r="486" spans="1:11" x14ac:dyDescent="0.25">
      <c r="A486" s="19"/>
      <c r="B486" s="21"/>
      <c r="C486" s="18"/>
      <c r="D486" s="19"/>
      <c r="E486" s="21"/>
      <c r="F486" s="18"/>
      <c r="G486" s="18"/>
      <c r="H486" s="17"/>
      <c r="I486" s="17"/>
      <c r="J486" s="19"/>
      <c r="K486" s="23" t="str">
        <f>IF(A486="","",IF(G486&lt;&gt;"","Resolvida",IF(F486&lt;DataRef,"Vencida","No prazo")))</f>
        <v/>
      </c>
    </row>
    <row r="487" spans="1:11" x14ac:dyDescent="0.25">
      <c r="A487" s="19"/>
      <c r="B487" s="21"/>
      <c r="C487" s="18"/>
      <c r="D487" s="19"/>
      <c r="E487" s="21"/>
      <c r="F487" s="18"/>
      <c r="G487" s="18"/>
      <c r="H487" s="17"/>
      <c r="I487" s="17"/>
      <c r="J487" s="19"/>
      <c r="K487" s="23" t="str">
        <f>IF(A487="","",IF(G487&lt;&gt;"","Resolvida",IF(F487&lt;DataRef,"Vencida","No prazo")))</f>
        <v/>
      </c>
    </row>
    <row r="488" spans="1:11" x14ac:dyDescent="0.25">
      <c r="A488" s="19"/>
      <c r="B488" s="21"/>
      <c r="C488" s="18"/>
      <c r="D488" s="19"/>
      <c r="E488" s="21"/>
      <c r="F488" s="18"/>
      <c r="G488" s="18"/>
      <c r="H488" s="17"/>
      <c r="I488" s="17"/>
      <c r="J488" s="19"/>
      <c r="K488" s="23" t="str">
        <f>IF(A488="","",IF(G488&lt;&gt;"","Resolvida",IF(F488&lt;DataRef,"Vencida","No prazo")))</f>
        <v/>
      </c>
    </row>
    <row r="489" spans="1:11" x14ac:dyDescent="0.25">
      <c r="A489" s="19"/>
      <c r="B489" s="21"/>
      <c r="C489" s="18"/>
      <c r="D489" s="19"/>
      <c r="E489" s="21"/>
      <c r="F489" s="18"/>
      <c r="G489" s="18"/>
      <c r="H489" s="17"/>
      <c r="I489" s="17"/>
      <c r="J489" s="19"/>
      <c r="K489" s="23" t="str">
        <f>IF(A489="","",IF(G489&lt;&gt;"","Resolvida",IF(F489&lt;DataRef,"Vencida","No prazo")))</f>
        <v/>
      </c>
    </row>
    <row r="490" spans="1:11" x14ac:dyDescent="0.25">
      <c r="A490" s="19"/>
      <c r="B490" s="21"/>
      <c r="C490" s="18"/>
      <c r="D490" s="19"/>
      <c r="E490" s="21"/>
      <c r="F490" s="18"/>
      <c r="G490" s="18"/>
      <c r="H490" s="17"/>
      <c r="I490" s="17"/>
      <c r="J490" s="19"/>
      <c r="K490" s="23" t="str">
        <f>IF(A490="","",IF(G490&lt;&gt;"","Resolvida",IF(F490&lt;DataRef,"Vencida","No prazo")))</f>
        <v/>
      </c>
    </row>
    <row r="491" spans="1:11" x14ac:dyDescent="0.25">
      <c r="A491" s="19"/>
      <c r="B491" s="21"/>
      <c r="C491" s="18"/>
      <c r="D491" s="19"/>
      <c r="E491" s="21"/>
      <c r="F491" s="18"/>
      <c r="G491" s="18"/>
      <c r="H491" s="17"/>
      <c r="I491" s="17"/>
      <c r="J491" s="19"/>
      <c r="K491" s="23" t="str">
        <f>IF(A491="","",IF(G491&lt;&gt;"","Resolvida",IF(F491&lt;DataRef,"Vencida","No prazo")))</f>
        <v/>
      </c>
    </row>
    <row r="492" spans="1:11" x14ac:dyDescent="0.25">
      <c r="A492" s="19"/>
      <c r="B492" s="21"/>
      <c r="C492" s="18"/>
      <c r="D492" s="19"/>
      <c r="E492" s="21"/>
      <c r="F492" s="18"/>
      <c r="G492" s="18"/>
      <c r="H492" s="17"/>
      <c r="I492" s="17"/>
      <c r="J492" s="19"/>
      <c r="K492" s="23" t="str">
        <f>IF(A492="","",IF(G492&lt;&gt;"","Resolvida",IF(F492&lt;DataRef,"Vencida","No prazo")))</f>
        <v/>
      </c>
    </row>
    <row r="493" spans="1:11" x14ac:dyDescent="0.25">
      <c r="A493" s="19"/>
      <c r="B493" s="21"/>
      <c r="C493" s="18"/>
      <c r="D493" s="19"/>
      <c r="E493" s="21"/>
      <c r="F493" s="18"/>
      <c r="G493" s="18"/>
      <c r="H493" s="17"/>
      <c r="I493" s="17"/>
      <c r="J493" s="19"/>
      <c r="K493" s="23" t="str">
        <f>IF(A493="","",IF(G493&lt;&gt;"","Resolvida",IF(F493&lt;DataRef,"Vencida","No prazo")))</f>
        <v/>
      </c>
    </row>
    <row r="494" spans="1:11" x14ac:dyDescent="0.25">
      <c r="A494" s="19"/>
      <c r="B494" s="21"/>
      <c r="C494" s="18"/>
      <c r="D494" s="19"/>
      <c r="E494" s="21"/>
      <c r="F494" s="18"/>
      <c r="G494" s="18"/>
      <c r="H494" s="17"/>
      <c r="I494" s="17"/>
      <c r="J494" s="19"/>
      <c r="K494" s="23" t="str">
        <f>IF(A494="","",IF(G494&lt;&gt;"","Resolvida",IF(F494&lt;DataRef,"Vencida","No prazo")))</f>
        <v/>
      </c>
    </row>
    <row r="495" spans="1:11" x14ac:dyDescent="0.25">
      <c r="A495" s="19"/>
      <c r="B495" s="21"/>
      <c r="C495" s="18"/>
      <c r="D495" s="19"/>
      <c r="E495" s="21"/>
      <c r="F495" s="18"/>
      <c r="G495" s="18"/>
      <c r="H495" s="17"/>
      <c r="I495" s="17"/>
      <c r="J495" s="19"/>
      <c r="K495" s="23" t="str">
        <f>IF(A495="","",IF(G495&lt;&gt;"","Resolvida",IF(F495&lt;DataRef,"Vencida","No prazo")))</f>
        <v/>
      </c>
    </row>
    <row r="496" spans="1:11" x14ac:dyDescent="0.25">
      <c r="A496" s="19"/>
      <c r="B496" s="21"/>
      <c r="C496" s="18"/>
      <c r="D496" s="19"/>
      <c r="E496" s="21"/>
      <c r="F496" s="18"/>
      <c r="G496" s="18"/>
      <c r="H496" s="17"/>
      <c r="I496" s="17"/>
      <c r="J496" s="19"/>
      <c r="K496" s="23" t="str">
        <f>IF(A496="","",IF(G496&lt;&gt;"","Resolvida",IF(F496&lt;DataRef,"Vencida","No prazo")))</f>
        <v/>
      </c>
    </row>
    <row r="497" spans="1:11" x14ac:dyDescent="0.25">
      <c r="A497" s="19"/>
      <c r="B497" s="21"/>
      <c r="C497" s="18"/>
      <c r="D497" s="19"/>
      <c r="E497" s="21"/>
      <c r="F497" s="18"/>
      <c r="G497" s="18"/>
      <c r="H497" s="17"/>
      <c r="I497" s="17"/>
      <c r="J497" s="19"/>
      <c r="K497" s="23" t="str">
        <f>IF(A497="","",IF(G497&lt;&gt;"","Resolvida",IF(F497&lt;DataRef,"Vencida","No prazo")))</f>
        <v/>
      </c>
    </row>
    <row r="498" spans="1:11" x14ac:dyDescent="0.25">
      <c r="A498" s="19"/>
      <c r="B498" s="21"/>
      <c r="C498" s="18"/>
      <c r="D498" s="19"/>
      <c r="E498" s="21"/>
      <c r="F498" s="18"/>
      <c r="G498" s="18"/>
      <c r="H498" s="17"/>
      <c r="I498" s="17"/>
      <c r="J498" s="19"/>
      <c r="K498" s="23" t="str">
        <f>IF(A498="","",IF(G498&lt;&gt;"","Resolvida",IF(F498&lt;DataRef,"Vencida","No prazo")))</f>
        <v/>
      </c>
    </row>
    <row r="499" spans="1:11" x14ac:dyDescent="0.25">
      <c r="A499" s="19"/>
      <c r="B499" s="21"/>
      <c r="C499" s="18"/>
      <c r="D499" s="19"/>
      <c r="E499" s="21"/>
      <c r="F499" s="18"/>
      <c r="G499" s="18"/>
      <c r="H499" s="17"/>
      <c r="I499" s="17"/>
      <c r="J499" s="19"/>
      <c r="K499" s="23" t="str">
        <f>IF(A499="","",IF(G499&lt;&gt;"","Resolvida",IF(F499&lt;DataRef,"Vencida","No prazo")))</f>
        <v/>
      </c>
    </row>
    <row r="500" spans="1:11" x14ac:dyDescent="0.25">
      <c r="A500" s="19"/>
      <c r="B500" s="21"/>
      <c r="C500" s="18"/>
      <c r="D500" s="19"/>
      <c r="E500" s="21"/>
      <c r="F500" s="18"/>
      <c r="G500" s="18"/>
      <c r="H500" s="17"/>
      <c r="I500" s="17"/>
      <c r="J500" s="19"/>
      <c r="K500" s="23" t="str">
        <f>IF(A500="","",IF(G500&lt;&gt;"","Resolvida",IF(F500&lt;DataRef,"Vencida","No prazo")))</f>
        <v/>
      </c>
    </row>
    <row r="501" spans="1:11" x14ac:dyDescent="0.25">
      <c r="A501" s="19"/>
      <c r="B501" s="21"/>
      <c r="C501" s="18"/>
      <c r="D501" s="19"/>
      <c r="E501" s="21"/>
      <c r="F501" s="18"/>
      <c r="G501" s="18"/>
      <c r="H501" s="17"/>
      <c r="I501" s="17"/>
      <c r="J501" s="19"/>
      <c r="K501" s="23" t="str">
        <f>IF(A501="","",IF(G501&lt;&gt;"","Resolvida",IF(F501&lt;DataRef,"Vencida","No prazo")))</f>
        <v/>
      </c>
    </row>
    <row r="502" spans="1:11" x14ac:dyDescent="0.25">
      <c r="A502" s="19"/>
      <c r="B502" s="21"/>
      <c r="C502" s="18"/>
      <c r="D502" s="19"/>
      <c r="E502" s="21"/>
      <c r="F502" s="18"/>
      <c r="G502" s="18"/>
      <c r="H502" s="17"/>
      <c r="I502" s="17"/>
      <c r="J502" s="19"/>
      <c r="K502" s="23" t="str">
        <f>IF(A502="","",IF(G502&lt;&gt;"","Resolvida",IF(F502&lt;DataRef,"Vencida","No prazo")))</f>
        <v/>
      </c>
    </row>
    <row r="503" spans="1:11" x14ac:dyDescent="0.25">
      <c r="A503" s="19"/>
      <c r="B503" s="21"/>
      <c r="C503" s="18"/>
      <c r="D503" s="19"/>
      <c r="E503" s="21"/>
      <c r="F503" s="18"/>
      <c r="G503" s="18"/>
      <c r="H503" s="17"/>
      <c r="I503" s="17"/>
      <c r="J503" s="19"/>
      <c r="K503" s="23" t="str">
        <f>IF(A503="","",IF(G503&lt;&gt;"","Resolvida",IF(F503&lt;DataRef,"Vencida","No prazo")))</f>
        <v/>
      </c>
    </row>
    <row r="504" spans="1:11" x14ac:dyDescent="0.25">
      <c r="A504" s="19"/>
      <c r="B504" s="21"/>
      <c r="C504" s="18"/>
      <c r="D504" s="19"/>
      <c r="E504" s="21"/>
      <c r="F504" s="18"/>
      <c r="G504" s="18"/>
      <c r="H504" s="17"/>
      <c r="I504" s="17"/>
      <c r="J504" s="19"/>
      <c r="K504" s="23" t="str">
        <f>IF(A504="","",IF(G504&lt;&gt;"","Resolvida",IF(F504&lt;DataRef,"Vencida","No prazo")))</f>
        <v/>
      </c>
    </row>
    <row r="505" spans="1:11" x14ac:dyDescent="0.25">
      <c r="A505" s="19"/>
      <c r="B505" s="21"/>
      <c r="C505" s="18"/>
      <c r="D505" s="19"/>
      <c r="E505" s="21"/>
      <c r="F505" s="18"/>
      <c r="G505" s="18"/>
      <c r="H505" s="17"/>
      <c r="I505" s="17"/>
      <c r="J505" s="19"/>
      <c r="K505" s="23" t="str">
        <f>IF(A505="","",IF(G505&lt;&gt;"","Resolvida",IF(F505&lt;DataRef,"Vencida","No prazo")))</f>
        <v/>
      </c>
    </row>
    <row r="506" spans="1:11" x14ac:dyDescent="0.25">
      <c r="A506" s="19"/>
      <c r="B506" s="21"/>
      <c r="C506" s="18"/>
      <c r="D506" s="19"/>
      <c r="E506" s="21"/>
      <c r="F506" s="18"/>
      <c r="G506" s="18"/>
      <c r="H506" s="17"/>
      <c r="I506" s="17"/>
      <c r="J506" s="19"/>
      <c r="K506" s="23" t="str">
        <f>IF(A506="","",IF(G506&lt;&gt;"","Resolvida",IF(F506&lt;DataRef,"Vencida","No prazo")))</f>
        <v/>
      </c>
    </row>
    <row r="507" spans="1:11" x14ac:dyDescent="0.25">
      <c r="A507" s="19"/>
      <c r="B507" s="21"/>
      <c r="C507" s="18"/>
      <c r="D507" s="19"/>
      <c r="E507" s="21"/>
      <c r="F507" s="18"/>
      <c r="G507" s="18"/>
      <c r="H507" s="17"/>
      <c r="I507" s="17"/>
      <c r="J507" s="19"/>
      <c r="K507" s="23" t="str">
        <f>IF(A507="","",IF(G507&lt;&gt;"","Resolvida",IF(F507&lt;DataRef,"Vencida","No prazo")))</f>
        <v/>
      </c>
    </row>
    <row r="508" spans="1:11" x14ac:dyDescent="0.25">
      <c r="A508" s="19"/>
      <c r="B508" s="21"/>
      <c r="C508" s="18"/>
      <c r="D508" s="19"/>
      <c r="E508" s="21"/>
      <c r="F508" s="18"/>
      <c r="G508" s="18"/>
      <c r="H508" s="17"/>
      <c r="I508" s="17"/>
      <c r="J508" s="19"/>
      <c r="K508" s="23" t="str">
        <f>IF(A508="","",IF(G508&lt;&gt;"","Resolvida",IF(F508&lt;DataRef,"Vencida","No prazo")))</f>
        <v/>
      </c>
    </row>
    <row r="509" spans="1:11" x14ac:dyDescent="0.25">
      <c r="A509" s="19"/>
      <c r="B509" s="21"/>
      <c r="C509" s="18"/>
      <c r="D509" s="19"/>
      <c r="E509" s="21"/>
      <c r="F509" s="18"/>
      <c r="G509" s="18"/>
      <c r="H509" s="17"/>
      <c r="I509" s="17"/>
      <c r="J509" s="19"/>
      <c r="K509" s="23" t="str">
        <f>IF(A509="","",IF(G509&lt;&gt;"","Resolvida",IF(F509&lt;DataRef,"Vencida","No prazo")))</f>
        <v/>
      </c>
    </row>
    <row r="510" spans="1:11" x14ac:dyDescent="0.25">
      <c r="A510" s="19"/>
      <c r="B510" s="21"/>
      <c r="C510" s="18"/>
      <c r="D510" s="19"/>
      <c r="E510" s="21"/>
      <c r="F510" s="18"/>
      <c r="G510" s="18"/>
      <c r="H510" s="17"/>
      <c r="I510" s="17"/>
      <c r="J510" s="19"/>
      <c r="K510" s="23" t="str">
        <f>IF(A510="","",IF(G510&lt;&gt;"","Resolvida",IF(F510&lt;DataRef,"Vencida","No prazo")))</f>
        <v/>
      </c>
    </row>
    <row r="511" spans="1:11" x14ac:dyDescent="0.25">
      <c r="A511" s="19"/>
      <c r="B511" s="21"/>
      <c r="C511" s="18"/>
      <c r="D511" s="19"/>
      <c r="E511" s="21"/>
      <c r="F511" s="18"/>
      <c r="G511" s="18"/>
      <c r="H511" s="17"/>
      <c r="I511" s="17"/>
      <c r="J511" s="19"/>
      <c r="K511" s="23" t="str">
        <f>IF(A511="","",IF(G511&lt;&gt;"","Resolvida",IF(F511&lt;DataRef,"Vencida","No prazo")))</f>
        <v/>
      </c>
    </row>
    <row r="512" spans="1:11" x14ac:dyDescent="0.25">
      <c r="A512" s="19"/>
      <c r="B512" s="21"/>
      <c r="C512" s="18"/>
      <c r="D512" s="19"/>
      <c r="E512" s="21"/>
      <c r="F512" s="18"/>
      <c r="G512" s="18"/>
      <c r="H512" s="17"/>
      <c r="I512" s="17"/>
      <c r="J512" s="19"/>
      <c r="K512" s="23" t="str">
        <f>IF(A512="","",IF(G512&lt;&gt;"","Resolvida",IF(F512&lt;DataRef,"Vencida","No prazo")))</f>
        <v/>
      </c>
    </row>
    <row r="513" spans="1:11" x14ac:dyDescent="0.25">
      <c r="A513" s="19"/>
      <c r="B513" s="21"/>
      <c r="C513" s="18"/>
      <c r="D513" s="19"/>
      <c r="E513" s="21"/>
      <c r="F513" s="18"/>
      <c r="G513" s="18"/>
      <c r="H513" s="17"/>
      <c r="I513" s="17"/>
      <c r="J513" s="19"/>
      <c r="K513" s="23" t="str">
        <f>IF(A513="","",IF(G513&lt;&gt;"","Resolvida",IF(F513&lt;DataRef,"Vencida","No prazo")))</f>
        <v/>
      </c>
    </row>
    <row r="514" spans="1:11" x14ac:dyDescent="0.25">
      <c r="A514" s="19"/>
      <c r="B514" s="21"/>
      <c r="C514" s="18"/>
      <c r="D514" s="19"/>
      <c r="E514" s="21"/>
      <c r="F514" s="18"/>
      <c r="G514" s="18"/>
      <c r="H514" s="17"/>
      <c r="I514" s="17"/>
      <c r="J514" s="19"/>
      <c r="K514" s="23" t="str">
        <f>IF(A514="","",IF(G514&lt;&gt;"","Resolvida",IF(F514&lt;DataRef,"Vencida","No prazo")))</f>
        <v/>
      </c>
    </row>
    <row r="515" spans="1:11" x14ac:dyDescent="0.25">
      <c r="A515" s="19"/>
      <c r="B515" s="21"/>
      <c r="C515" s="18"/>
      <c r="D515" s="19"/>
      <c r="E515" s="21"/>
      <c r="F515" s="18"/>
      <c r="G515" s="18"/>
      <c r="H515" s="17"/>
      <c r="I515" s="17"/>
      <c r="J515" s="19"/>
      <c r="K515" s="23" t="str">
        <f>IF(A515="","",IF(G515&lt;&gt;"","Resolvida",IF(F515&lt;DataRef,"Vencida","No prazo")))</f>
        <v/>
      </c>
    </row>
    <row r="516" spans="1:11" x14ac:dyDescent="0.25">
      <c r="A516" s="19"/>
      <c r="B516" s="21"/>
      <c r="C516" s="18"/>
      <c r="D516" s="19"/>
      <c r="E516" s="21"/>
      <c r="F516" s="18"/>
      <c r="G516" s="18"/>
      <c r="H516" s="17"/>
      <c r="I516" s="17"/>
      <c r="J516" s="19"/>
      <c r="K516" s="23" t="str">
        <f>IF(A516="","",IF(G516&lt;&gt;"","Resolvida",IF(F516&lt;DataRef,"Vencida","No prazo")))</f>
        <v/>
      </c>
    </row>
    <row r="517" spans="1:11" x14ac:dyDescent="0.25">
      <c r="A517" s="19"/>
      <c r="B517" s="21"/>
      <c r="C517" s="18"/>
      <c r="D517" s="19"/>
      <c r="E517" s="21"/>
      <c r="F517" s="18"/>
      <c r="G517" s="18"/>
      <c r="H517" s="17"/>
      <c r="I517" s="17"/>
      <c r="J517" s="19"/>
      <c r="K517" s="23" t="str">
        <f>IF(A517="","",IF(G517&lt;&gt;"","Resolvida",IF(F517&lt;DataRef,"Vencida","No prazo")))</f>
        <v/>
      </c>
    </row>
    <row r="518" spans="1:11" x14ac:dyDescent="0.25">
      <c r="A518" s="19"/>
      <c r="B518" s="21"/>
      <c r="C518" s="18"/>
      <c r="D518" s="19"/>
      <c r="E518" s="21"/>
      <c r="F518" s="18"/>
      <c r="G518" s="18"/>
      <c r="H518" s="17"/>
      <c r="I518" s="17"/>
      <c r="J518" s="19"/>
      <c r="K518" s="23" t="str">
        <f>IF(A518="","",IF(G518&lt;&gt;"","Resolvida",IF(F518&lt;DataRef,"Vencida","No prazo")))</f>
        <v/>
      </c>
    </row>
    <row r="519" spans="1:11" x14ac:dyDescent="0.25">
      <c r="A519" s="19"/>
      <c r="B519" s="21"/>
      <c r="C519" s="18"/>
      <c r="D519" s="19"/>
      <c r="E519" s="21"/>
      <c r="F519" s="18"/>
      <c r="G519" s="18"/>
      <c r="H519" s="17"/>
      <c r="I519" s="17"/>
      <c r="J519" s="19"/>
      <c r="K519" s="23" t="str">
        <f>IF(A519="","",IF(G519&lt;&gt;"","Resolvida",IF(F519&lt;DataRef,"Vencida","No prazo")))</f>
        <v/>
      </c>
    </row>
    <row r="520" spans="1:11" x14ac:dyDescent="0.25">
      <c r="A520" s="19"/>
      <c r="B520" s="21"/>
      <c r="C520" s="18"/>
      <c r="D520" s="19"/>
      <c r="E520" s="21"/>
      <c r="F520" s="18"/>
      <c r="G520" s="18"/>
      <c r="H520" s="17"/>
      <c r="I520" s="17"/>
      <c r="J520" s="19"/>
      <c r="K520" s="23" t="str">
        <f>IF(A520="","",IF(G520&lt;&gt;"","Resolvida",IF(F520&lt;DataRef,"Vencida","No prazo")))</f>
        <v/>
      </c>
    </row>
    <row r="521" spans="1:11" x14ac:dyDescent="0.25">
      <c r="A521" s="19"/>
      <c r="B521" s="21"/>
      <c r="C521" s="18"/>
      <c r="D521" s="19"/>
      <c r="E521" s="21"/>
      <c r="F521" s="18"/>
      <c r="G521" s="18"/>
      <c r="H521" s="17"/>
      <c r="I521" s="17"/>
      <c r="J521" s="19"/>
      <c r="K521" s="23" t="str">
        <f>IF(A521="","",IF(G521&lt;&gt;"","Resolvida",IF(F521&lt;DataRef,"Vencida","No prazo")))</f>
        <v/>
      </c>
    </row>
    <row r="522" spans="1:11" x14ac:dyDescent="0.25">
      <c r="A522" s="19"/>
      <c r="B522" s="21"/>
      <c r="C522" s="18"/>
      <c r="D522" s="19"/>
      <c r="E522" s="21"/>
      <c r="F522" s="18"/>
      <c r="G522" s="18"/>
      <c r="H522" s="17"/>
      <c r="I522" s="17"/>
      <c r="J522" s="19"/>
      <c r="K522" s="23" t="str">
        <f>IF(A522="","",IF(G522&lt;&gt;"","Resolvida",IF(F522&lt;DataRef,"Vencida","No prazo")))</f>
        <v/>
      </c>
    </row>
    <row r="523" spans="1:11" x14ac:dyDescent="0.25">
      <c r="A523" s="19"/>
      <c r="B523" s="21"/>
      <c r="C523" s="18"/>
      <c r="D523" s="19"/>
      <c r="E523" s="21"/>
      <c r="F523" s="18"/>
      <c r="G523" s="18"/>
      <c r="H523" s="17"/>
      <c r="I523" s="17"/>
      <c r="J523" s="19"/>
      <c r="K523" s="23" t="str">
        <f>IF(A523="","",IF(G523&lt;&gt;"","Resolvida",IF(F523&lt;DataRef,"Vencida","No prazo")))</f>
        <v/>
      </c>
    </row>
    <row r="524" spans="1:11" x14ac:dyDescent="0.25">
      <c r="A524" s="19"/>
      <c r="B524" s="21"/>
      <c r="C524" s="18"/>
      <c r="D524" s="19"/>
      <c r="E524" s="21"/>
      <c r="F524" s="18"/>
      <c r="G524" s="18"/>
      <c r="H524" s="17"/>
      <c r="I524" s="17"/>
      <c r="J524" s="19"/>
      <c r="K524" s="23" t="str">
        <f>IF(A524="","",IF(G524&lt;&gt;"","Resolvida",IF(F524&lt;DataRef,"Vencida","No prazo")))</f>
        <v/>
      </c>
    </row>
    <row r="525" spans="1:11" x14ac:dyDescent="0.25">
      <c r="A525" s="19"/>
      <c r="B525" s="21"/>
      <c r="C525" s="18"/>
      <c r="D525" s="19"/>
      <c r="E525" s="21"/>
      <c r="F525" s="18"/>
      <c r="G525" s="18"/>
      <c r="H525" s="17"/>
      <c r="I525" s="17"/>
      <c r="J525" s="19"/>
      <c r="K525" s="23" t="str">
        <f>IF(A525="","",IF(G525&lt;&gt;"","Resolvida",IF(F525&lt;DataRef,"Vencida","No prazo")))</f>
        <v/>
      </c>
    </row>
    <row r="526" spans="1:11" x14ac:dyDescent="0.25">
      <c r="A526" s="19"/>
      <c r="B526" s="21"/>
      <c r="C526" s="18"/>
      <c r="D526" s="19"/>
      <c r="E526" s="21"/>
      <c r="F526" s="18"/>
      <c r="G526" s="18"/>
      <c r="H526" s="17"/>
      <c r="I526" s="17"/>
      <c r="J526" s="19"/>
      <c r="K526" s="23" t="str">
        <f>IF(A526="","",IF(G526&lt;&gt;"","Resolvida",IF(F526&lt;DataRef,"Vencida","No prazo")))</f>
        <v/>
      </c>
    </row>
    <row r="527" spans="1:11" x14ac:dyDescent="0.25">
      <c r="A527" s="19"/>
      <c r="B527" s="21"/>
      <c r="C527" s="18"/>
      <c r="D527" s="19"/>
      <c r="E527" s="21"/>
      <c r="F527" s="18"/>
      <c r="G527" s="18"/>
      <c r="H527" s="17"/>
      <c r="I527" s="17"/>
      <c r="J527" s="19"/>
      <c r="K527" s="23" t="str">
        <f>IF(A527="","",IF(G527&lt;&gt;"","Resolvida",IF(F527&lt;DataRef,"Vencida","No prazo")))</f>
        <v/>
      </c>
    </row>
    <row r="528" spans="1:11" x14ac:dyDescent="0.25">
      <c r="A528" s="19"/>
      <c r="B528" s="21"/>
      <c r="C528" s="18"/>
      <c r="D528" s="19"/>
      <c r="E528" s="21"/>
      <c r="F528" s="18"/>
      <c r="G528" s="18"/>
      <c r="H528" s="17"/>
      <c r="I528" s="17"/>
      <c r="J528" s="19"/>
      <c r="K528" s="23" t="str">
        <f>IF(A528="","",IF(G528&lt;&gt;"","Resolvida",IF(F528&lt;DataRef,"Vencida","No prazo")))</f>
        <v/>
      </c>
    </row>
    <row r="529" spans="1:11" x14ac:dyDescent="0.25">
      <c r="A529" s="19"/>
      <c r="B529" s="21"/>
      <c r="C529" s="18"/>
      <c r="D529" s="19"/>
      <c r="E529" s="21"/>
      <c r="F529" s="18"/>
      <c r="G529" s="18"/>
      <c r="H529" s="17"/>
      <c r="I529" s="17"/>
      <c r="J529" s="19"/>
      <c r="K529" s="23" t="str">
        <f>IF(A529="","",IF(G529&lt;&gt;"","Resolvida",IF(F529&lt;DataRef,"Vencida","No prazo")))</f>
        <v/>
      </c>
    </row>
    <row r="530" spans="1:11" x14ac:dyDescent="0.25">
      <c r="A530" s="19"/>
      <c r="B530" s="21"/>
      <c r="C530" s="18"/>
      <c r="D530" s="19"/>
      <c r="E530" s="21"/>
      <c r="F530" s="18"/>
      <c r="G530" s="18"/>
      <c r="H530" s="17"/>
      <c r="I530" s="17"/>
      <c r="J530" s="19"/>
      <c r="K530" s="23" t="str">
        <f>IF(A530="","",IF(G530&lt;&gt;"","Resolvida",IF(F530&lt;DataRef,"Vencida","No prazo")))</f>
        <v/>
      </c>
    </row>
    <row r="531" spans="1:11" x14ac:dyDescent="0.25">
      <c r="A531" s="19"/>
      <c r="B531" s="21"/>
      <c r="C531" s="18"/>
      <c r="D531" s="19"/>
      <c r="E531" s="21"/>
      <c r="F531" s="18"/>
      <c r="G531" s="18"/>
      <c r="H531" s="17"/>
      <c r="I531" s="17"/>
      <c r="J531" s="19"/>
      <c r="K531" s="23" t="str">
        <f>IF(A531="","",IF(G531&lt;&gt;"","Resolvida",IF(F531&lt;DataRef,"Vencida","No prazo")))</f>
        <v/>
      </c>
    </row>
    <row r="532" spans="1:11" x14ac:dyDescent="0.25">
      <c r="A532" s="19"/>
      <c r="B532" s="21"/>
      <c r="C532" s="18"/>
      <c r="D532" s="19"/>
      <c r="E532" s="21"/>
      <c r="F532" s="18"/>
      <c r="G532" s="18"/>
      <c r="H532" s="17"/>
      <c r="I532" s="17"/>
      <c r="J532" s="19"/>
      <c r="K532" s="23" t="str">
        <f>IF(A532="","",IF(G532&lt;&gt;"","Resolvida",IF(F532&lt;DataRef,"Vencida","No prazo")))</f>
        <v/>
      </c>
    </row>
    <row r="533" spans="1:11" x14ac:dyDescent="0.25">
      <c r="A533" s="19"/>
      <c r="B533" s="21"/>
      <c r="C533" s="18"/>
      <c r="D533" s="19"/>
      <c r="E533" s="21"/>
      <c r="F533" s="18"/>
      <c r="G533" s="18"/>
      <c r="H533" s="17"/>
      <c r="I533" s="17"/>
      <c r="J533" s="19"/>
      <c r="K533" s="23" t="str">
        <f>IF(A533="","",IF(G533&lt;&gt;"","Resolvida",IF(F533&lt;DataRef,"Vencida","No prazo")))</f>
        <v/>
      </c>
    </row>
    <row r="534" spans="1:11" x14ac:dyDescent="0.25">
      <c r="A534" s="19"/>
      <c r="B534" s="21"/>
      <c r="C534" s="18"/>
      <c r="D534" s="19"/>
      <c r="E534" s="21"/>
      <c r="F534" s="18"/>
      <c r="G534" s="18"/>
      <c r="H534" s="17"/>
      <c r="I534" s="17"/>
      <c r="J534" s="19"/>
      <c r="K534" s="23" t="str">
        <f>IF(A534="","",IF(G534&lt;&gt;"","Resolvida",IF(F534&lt;DataRef,"Vencida","No prazo")))</f>
        <v/>
      </c>
    </row>
    <row r="535" spans="1:11" x14ac:dyDescent="0.25">
      <c r="A535" s="19"/>
      <c r="B535" s="21"/>
      <c r="C535" s="18"/>
      <c r="D535" s="19"/>
      <c r="E535" s="21"/>
      <c r="F535" s="18"/>
      <c r="G535" s="18"/>
      <c r="H535" s="17"/>
      <c r="I535" s="17"/>
      <c r="J535" s="19"/>
      <c r="K535" s="23" t="str">
        <f>IF(A535="","",IF(G535&lt;&gt;"","Resolvida",IF(F535&lt;DataRef,"Vencida","No prazo")))</f>
        <v/>
      </c>
    </row>
    <row r="536" spans="1:11" x14ac:dyDescent="0.25">
      <c r="A536" s="19"/>
      <c r="B536" s="21"/>
      <c r="C536" s="18"/>
      <c r="D536" s="19"/>
      <c r="E536" s="21"/>
      <c r="F536" s="18"/>
      <c r="G536" s="18"/>
      <c r="H536" s="17"/>
      <c r="I536" s="17"/>
      <c r="J536" s="19"/>
      <c r="K536" s="23" t="str">
        <f>IF(A536="","",IF(G536&lt;&gt;"","Resolvida",IF(F536&lt;DataRef,"Vencida","No prazo")))</f>
        <v/>
      </c>
    </row>
    <row r="537" spans="1:11" x14ac:dyDescent="0.25">
      <c r="A537" s="19"/>
      <c r="B537" s="21"/>
      <c r="C537" s="18"/>
      <c r="D537" s="19"/>
      <c r="E537" s="21"/>
      <c r="F537" s="18"/>
      <c r="G537" s="18"/>
      <c r="H537" s="17"/>
      <c r="I537" s="17"/>
      <c r="J537" s="19"/>
      <c r="K537" s="23" t="str">
        <f>IF(A537="","",IF(G537&lt;&gt;"","Resolvida",IF(F537&lt;DataRef,"Vencida","No prazo")))</f>
        <v/>
      </c>
    </row>
    <row r="538" spans="1:11" x14ac:dyDescent="0.25">
      <c r="A538" s="19"/>
      <c r="B538" s="21"/>
      <c r="C538" s="18"/>
      <c r="D538" s="19"/>
      <c r="E538" s="21"/>
      <c r="F538" s="18"/>
      <c r="G538" s="18"/>
      <c r="H538" s="17"/>
      <c r="I538" s="17"/>
      <c r="J538" s="19"/>
      <c r="K538" s="23" t="str">
        <f>IF(A538="","",IF(G538&lt;&gt;"","Resolvida",IF(F538&lt;DataRef,"Vencida","No prazo")))</f>
        <v/>
      </c>
    </row>
    <row r="539" spans="1:11" x14ac:dyDescent="0.25">
      <c r="A539" s="19"/>
      <c r="B539" s="21"/>
      <c r="C539" s="18"/>
      <c r="D539" s="19"/>
      <c r="E539" s="21"/>
      <c r="F539" s="18"/>
      <c r="G539" s="18"/>
      <c r="H539" s="17"/>
      <c r="I539" s="17"/>
      <c r="J539" s="19"/>
      <c r="K539" s="23" t="str">
        <f>IF(A539="","",IF(G539&lt;&gt;"","Resolvida",IF(F539&lt;DataRef,"Vencida","No prazo")))</f>
        <v/>
      </c>
    </row>
    <row r="540" spans="1:11" x14ac:dyDescent="0.25">
      <c r="A540" s="19"/>
      <c r="B540" s="21"/>
      <c r="C540" s="18"/>
      <c r="D540" s="19"/>
      <c r="E540" s="21"/>
      <c r="F540" s="18"/>
      <c r="G540" s="18"/>
      <c r="H540" s="17"/>
      <c r="I540" s="17"/>
      <c r="J540" s="19"/>
      <c r="K540" s="23" t="str">
        <f>IF(A540="","",IF(G540&lt;&gt;"","Resolvida",IF(F540&lt;DataRef,"Vencida","No prazo")))</f>
        <v/>
      </c>
    </row>
    <row r="541" spans="1:11" x14ac:dyDescent="0.25">
      <c r="A541" s="19"/>
      <c r="B541" s="21"/>
      <c r="C541" s="18"/>
      <c r="D541" s="19"/>
      <c r="E541" s="21"/>
      <c r="F541" s="18"/>
      <c r="G541" s="18"/>
      <c r="H541" s="17"/>
      <c r="I541" s="17"/>
      <c r="J541" s="19"/>
      <c r="K541" s="23" t="str">
        <f>IF(A541="","",IF(G541&lt;&gt;"","Resolvida",IF(F541&lt;DataRef,"Vencida","No prazo")))</f>
        <v/>
      </c>
    </row>
    <row r="542" spans="1:11" x14ac:dyDescent="0.25">
      <c r="A542" s="19"/>
      <c r="B542" s="21"/>
      <c r="C542" s="18"/>
      <c r="D542" s="19"/>
      <c r="E542" s="21"/>
      <c r="F542" s="18"/>
      <c r="G542" s="18"/>
      <c r="H542" s="17"/>
      <c r="I542" s="17"/>
      <c r="J542" s="19"/>
      <c r="K542" s="23" t="str">
        <f>IF(A542="","",IF(G542&lt;&gt;"","Resolvida",IF(F542&lt;DataRef,"Vencida","No prazo")))</f>
        <v/>
      </c>
    </row>
    <row r="543" spans="1:11" x14ac:dyDescent="0.25">
      <c r="A543" s="19"/>
      <c r="B543" s="21"/>
      <c r="C543" s="18"/>
      <c r="D543" s="19"/>
      <c r="E543" s="21"/>
      <c r="F543" s="18"/>
      <c r="G543" s="18"/>
      <c r="H543" s="17"/>
      <c r="I543" s="17"/>
      <c r="J543" s="19"/>
      <c r="K543" s="23" t="str">
        <f>IF(A543="","",IF(G543&lt;&gt;"","Resolvida",IF(F543&lt;DataRef,"Vencida","No prazo")))</f>
        <v/>
      </c>
    </row>
    <row r="544" spans="1:11" x14ac:dyDescent="0.25">
      <c r="A544" s="19"/>
      <c r="B544" s="21"/>
      <c r="C544" s="18"/>
      <c r="D544" s="19"/>
      <c r="E544" s="21"/>
      <c r="F544" s="18"/>
      <c r="G544" s="18"/>
      <c r="H544" s="17"/>
      <c r="I544" s="17"/>
      <c r="J544" s="19"/>
      <c r="K544" s="23" t="str">
        <f>IF(A544="","",IF(G544&lt;&gt;"","Resolvida",IF(F544&lt;DataRef,"Vencida","No prazo")))</f>
        <v/>
      </c>
    </row>
    <row r="545" spans="1:11" x14ac:dyDescent="0.25">
      <c r="A545" s="19"/>
      <c r="B545" s="21"/>
      <c r="C545" s="18"/>
      <c r="D545" s="19"/>
      <c r="E545" s="21"/>
      <c r="F545" s="18"/>
      <c r="G545" s="18"/>
      <c r="H545" s="17"/>
      <c r="I545" s="17"/>
      <c r="J545" s="19"/>
      <c r="K545" s="23" t="str">
        <f>IF(A545="","",IF(G545&lt;&gt;"","Resolvida",IF(F545&lt;DataRef,"Vencida","No prazo")))</f>
        <v/>
      </c>
    </row>
    <row r="546" spans="1:11" x14ac:dyDescent="0.25">
      <c r="A546" s="19"/>
      <c r="B546" s="21"/>
      <c r="C546" s="18"/>
      <c r="D546" s="19"/>
      <c r="E546" s="21"/>
      <c r="F546" s="18"/>
      <c r="G546" s="18"/>
      <c r="H546" s="17"/>
      <c r="I546" s="17"/>
      <c r="J546" s="19"/>
      <c r="K546" s="23" t="str">
        <f>IF(A546="","",IF(G546&lt;&gt;"","Resolvida",IF(F546&lt;DataRef,"Vencida","No prazo")))</f>
        <v/>
      </c>
    </row>
    <row r="547" spans="1:11" x14ac:dyDescent="0.25">
      <c r="A547" s="19"/>
      <c r="B547" s="21"/>
      <c r="C547" s="18"/>
      <c r="D547" s="19"/>
      <c r="E547" s="21"/>
      <c r="F547" s="18"/>
      <c r="G547" s="18"/>
      <c r="H547" s="17"/>
      <c r="I547" s="17"/>
      <c r="J547" s="19"/>
      <c r="K547" s="23" t="str">
        <f>IF(A547="","",IF(G547&lt;&gt;"","Resolvida",IF(F547&lt;DataRef,"Vencida","No prazo")))</f>
        <v/>
      </c>
    </row>
    <row r="548" spans="1:11" x14ac:dyDescent="0.25">
      <c r="A548" s="19"/>
      <c r="B548" s="21"/>
      <c r="C548" s="18"/>
      <c r="D548" s="19"/>
      <c r="E548" s="21"/>
      <c r="F548" s="18"/>
      <c r="G548" s="18"/>
      <c r="H548" s="17"/>
      <c r="I548" s="17"/>
      <c r="J548" s="19"/>
      <c r="K548" s="23" t="str">
        <f>IF(A548="","",IF(G548&lt;&gt;"","Resolvida",IF(F548&lt;DataRef,"Vencida","No prazo")))</f>
        <v/>
      </c>
    </row>
    <row r="549" spans="1:11" x14ac:dyDescent="0.25">
      <c r="A549" s="19"/>
      <c r="B549" s="21"/>
      <c r="C549" s="18"/>
      <c r="D549" s="19"/>
      <c r="E549" s="21"/>
      <c r="F549" s="18"/>
      <c r="G549" s="18"/>
      <c r="H549" s="17"/>
      <c r="I549" s="17"/>
      <c r="J549" s="19"/>
      <c r="K549" s="23" t="str">
        <f>IF(A549="","",IF(G549&lt;&gt;"","Resolvida",IF(F549&lt;DataRef,"Vencida","No prazo")))</f>
        <v/>
      </c>
    </row>
    <row r="550" spans="1:11" x14ac:dyDescent="0.25">
      <c r="A550" s="19"/>
      <c r="B550" s="21"/>
      <c r="C550" s="18"/>
      <c r="D550" s="19"/>
      <c r="E550" s="21"/>
      <c r="F550" s="18"/>
      <c r="G550" s="18"/>
      <c r="H550" s="17"/>
      <c r="I550" s="17"/>
      <c r="J550" s="19"/>
      <c r="K550" s="23" t="str">
        <f>IF(A550="","",IF(G550&lt;&gt;"","Resolvida",IF(F550&lt;DataRef,"Vencida","No prazo")))</f>
        <v/>
      </c>
    </row>
    <row r="551" spans="1:11" x14ac:dyDescent="0.25">
      <c r="A551" s="19"/>
      <c r="B551" s="21"/>
      <c r="C551" s="18"/>
      <c r="D551" s="19"/>
      <c r="E551" s="21"/>
      <c r="F551" s="18"/>
      <c r="G551" s="18"/>
      <c r="H551" s="17"/>
      <c r="I551" s="17"/>
      <c r="J551" s="19"/>
      <c r="K551" s="23" t="str">
        <f>IF(A551="","",IF(G551&lt;&gt;"","Resolvida",IF(F551&lt;DataRef,"Vencida","No prazo")))</f>
        <v/>
      </c>
    </row>
    <row r="552" spans="1:11" x14ac:dyDescent="0.25">
      <c r="A552" s="19"/>
      <c r="B552" s="21"/>
      <c r="C552" s="18"/>
      <c r="D552" s="19"/>
      <c r="E552" s="21"/>
      <c r="F552" s="18"/>
      <c r="G552" s="18"/>
      <c r="H552" s="17"/>
      <c r="I552" s="17"/>
      <c r="J552" s="19"/>
      <c r="K552" s="23" t="str">
        <f>IF(A552="","",IF(G552&lt;&gt;"","Resolvida",IF(F552&lt;DataRef,"Vencida","No prazo")))</f>
        <v/>
      </c>
    </row>
    <row r="553" spans="1:11" x14ac:dyDescent="0.25">
      <c r="A553" s="19"/>
      <c r="B553" s="21"/>
      <c r="C553" s="18"/>
      <c r="D553" s="19"/>
      <c r="E553" s="21"/>
      <c r="F553" s="18"/>
      <c r="G553" s="18"/>
      <c r="H553" s="17"/>
      <c r="I553" s="17"/>
      <c r="J553" s="19"/>
      <c r="K553" s="23" t="str">
        <f>IF(A553="","",IF(G553&lt;&gt;"","Resolvida",IF(F553&lt;DataRef,"Vencida","No prazo")))</f>
        <v/>
      </c>
    </row>
    <row r="554" spans="1:11" x14ac:dyDescent="0.25">
      <c r="A554" s="19"/>
      <c r="B554" s="21"/>
      <c r="C554" s="18"/>
      <c r="D554" s="19"/>
      <c r="E554" s="21"/>
      <c r="F554" s="18"/>
      <c r="G554" s="18"/>
      <c r="H554" s="17"/>
      <c r="I554" s="17"/>
      <c r="J554" s="19"/>
      <c r="K554" s="23" t="str">
        <f>IF(A554="","",IF(G554&lt;&gt;"","Resolvida",IF(F554&lt;DataRef,"Vencida","No prazo")))</f>
        <v/>
      </c>
    </row>
    <row r="555" spans="1:11" x14ac:dyDescent="0.25">
      <c r="A555" s="19"/>
      <c r="B555" s="21"/>
      <c r="C555" s="18"/>
      <c r="D555" s="19"/>
      <c r="E555" s="21"/>
      <c r="F555" s="18"/>
      <c r="G555" s="18"/>
      <c r="H555" s="17"/>
      <c r="I555" s="17"/>
      <c r="J555" s="19"/>
      <c r="K555" s="23" t="str">
        <f>IF(A555="","",IF(G555&lt;&gt;"","Resolvida",IF(F555&lt;DataRef,"Vencida","No prazo")))</f>
        <v/>
      </c>
    </row>
    <row r="556" spans="1:11" x14ac:dyDescent="0.25">
      <c r="A556" s="19"/>
      <c r="B556" s="21"/>
      <c r="C556" s="18"/>
      <c r="D556" s="19"/>
      <c r="E556" s="21"/>
      <c r="F556" s="18"/>
      <c r="G556" s="18"/>
      <c r="H556" s="17"/>
      <c r="I556" s="17"/>
      <c r="J556" s="19"/>
      <c r="K556" s="23" t="str">
        <f>IF(A556="","",IF(G556&lt;&gt;"","Resolvida",IF(F556&lt;DataRef,"Vencida","No prazo")))</f>
        <v/>
      </c>
    </row>
    <row r="557" spans="1:11" x14ac:dyDescent="0.25">
      <c r="A557" s="19"/>
      <c r="B557" s="21"/>
      <c r="C557" s="18"/>
      <c r="D557" s="19"/>
      <c r="E557" s="21"/>
      <c r="F557" s="18"/>
      <c r="G557" s="18"/>
      <c r="H557" s="17"/>
      <c r="I557" s="17"/>
      <c r="J557" s="19"/>
      <c r="K557" s="23" t="str">
        <f>IF(A557="","",IF(G557&lt;&gt;"","Resolvida",IF(F557&lt;DataRef,"Vencida","No prazo")))</f>
        <v/>
      </c>
    </row>
    <row r="558" spans="1:11" x14ac:dyDescent="0.25">
      <c r="A558" s="19"/>
      <c r="B558" s="21"/>
      <c r="C558" s="18"/>
      <c r="D558" s="19"/>
      <c r="E558" s="21"/>
      <c r="F558" s="18"/>
      <c r="G558" s="18"/>
      <c r="H558" s="17"/>
      <c r="I558" s="17"/>
      <c r="J558" s="19"/>
      <c r="K558" s="23" t="str">
        <f>IF(A558="","",IF(G558&lt;&gt;"","Resolvida",IF(F558&lt;DataRef,"Vencida","No prazo")))</f>
        <v/>
      </c>
    </row>
    <row r="559" spans="1:11" x14ac:dyDescent="0.25">
      <c r="A559" s="19"/>
      <c r="B559" s="21"/>
      <c r="C559" s="18"/>
      <c r="D559" s="19"/>
      <c r="E559" s="21"/>
      <c r="F559" s="18"/>
      <c r="G559" s="18"/>
      <c r="H559" s="17"/>
      <c r="I559" s="17"/>
      <c r="J559" s="19"/>
      <c r="K559" s="23" t="str">
        <f>IF(A559="","",IF(G559&lt;&gt;"","Resolvida",IF(F559&lt;DataRef,"Vencida","No prazo")))</f>
        <v/>
      </c>
    </row>
    <row r="560" spans="1:11" x14ac:dyDescent="0.25">
      <c r="A560" s="19"/>
      <c r="B560" s="21"/>
      <c r="C560" s="18"/>
      <c r="D560" s="19"/>
      <c r="E560" s="21"/>
      <c r="F560" s="18"/>
      <c r="G560" s="18"/>
      <c r="H560" s="17"/>
      <c r="I560" s="17"/>
      <c r="J560" s="19"/>
      <c r="K560" s="23" t="str">
        <f>IF(A560="","",IF(G560&lt;&gt;"","Resolvida",IF(F560&lt;DataRef,"Vencida","No prazo")))</f>
        <v/>
      </c>
    </row>
    <row r="561" spans="1:11" x14ac:dyDescent="0.25">
      <c r="A561" s="19"/>
      <c r="B561" s="21"/>
      <c r="C561" s="18"/>
      <c r="D561" s="19"/>
      <c r="E561" s="21"/>
      <c r="F561" s="18"/>
      <c r="G561" s="18"/>
      <c r="H561" s="17"/>
      <c r="I561" s="17"/>
      <c r="J561" s="19"/>
      <c r="K561" s="23" t="str">
        <f>IF(A561="","",IF(G561&lt;&gt;"","Resolvida",IF(F561&lt;DataRef,"Vencida","No prazo")))</f>
        <v/>
      </c>
    </row>
    <row r="562" spans="1:11" x14ac:dyDescent="0.25">
      <c r="A562" s="19"/>
      <c r="B562" s="21"/>
      <c r="C562" s="18"/>
      <c r="D562" s="19"/>
      <c r="E562" s="21"/>
      <c r="F562" s="18"/>
      <c r="G562" s="18"/>
      <c r="H562" s="17"/>
      <c r="I562" s="17"/>
      <c r="J562" s="19"/>
      <c r="K562" s="23" t="str">
        <f>IF(A562="","",IF(G562&lt;&gt;"","Resolvida",IF(F562&lt;DataRef,"Vencida","No prazo")))</f>
        <v/>
      </c>
    </row>
    <row r="563" spans="1:11" x14ac:dyDescent="0.25">
      <c r="A563" s="19"/>
      <c r="B563" s="21"/>
      <c r="C563" s="18"/>
      <c r="D563" s="19"/>
      <c r="E563" s="21"/>
      <c r="F563" s="18"/>
      <c r="G563" s="18"/>
      <c r="H563" s="17"/>
      <c r="I563" s="17"/>
      <c r="J563" s="19"/>
      <c r="K563" s="23" t="str">
        <f>IF(A563="","",IF(G563&lt;&gt;"","Resolvida",IF(F563&lt;DataRef,"Vencida","No prazo")))</f>
        <v/>
      </c>
    </row>
    <row r="564" spans="1:11" x14ac:dyDescent="0.25">
      <c r="A564" s="19"/>
      <c r="B564" s="21"/>
      <c r="C564" s="18"/>
      <c r="D564" s="19"/>
      <c r="E564" s="21"/>
      <c r="F564" s="18"/>
      <c r="G564" s="18"/>
      <c r="H564" s="17"/>
      <c r="I564" s="17"/>
      <c r="J564" s="19"/>
      <c r="K564" s="23" t="str">
        <f>IF(A564="","",IF(G564&lt;&gt;"","Resolvida",IF(F564&lt;DataRef,"Vencida","No prazo")))</f>
        <v/>
      </c>
    </row>
    <row r="565" spans="1:11" x14ac:dyDescent="0.25">
      <c r="A565" s="19"/>
      <c r="B565" s="21"/>
      <c r="C565" s="18"/>
      <c r="D565" s="19"/>
      <c r="E565" s="21"/>
      <c r="F565" s="18"/>
      <c r="G565" s="18"/>
      <c r="H565" s="17"/>
      <c r="I565" s="17"/>
      <c r="J565" s="19"/>
      <c r="K565" s="23" t="str">
        <f>IF(A565="","",IF(G565&lt;&gt;"","Resolvida",IF(F565&lt;DataRef,"Vencida","No prazo")))</f>
        <v/>
      </c>
    </row>
    <row r="566" spans="1:11" x14ac:dyDescent="0.25">
      <c r="A566" s="19"/>
      <c r="B566" s="21"/>
      <c r="C566" s="18"/>
      <c r="D566" s="19"/>
      <c r="E566" s="21"/>
      <c r="F566" s="18"/>
      <c r="G566" s="18"/>
      <c r="H566" s="17"/>
      <c r="I566" s="17"/>
      <c r="J566" s="19"/>
      <c r="K566" s="23" t="str">
        <f>IF(A566="","",IF(G566&lt;&gt;"","Resolvida",IF(F566&lt;DataRef,"Vencida","No prazo")))</f>
        <v/>
      </c>
    </row>
    <row r="567" spans="1:11" x14ac:dyDescent="0.25">
      <c r="A567" s="19"/>
      <c r="B567" s="21"/>
      <c r="C567" s="18"/>
      <c r="D567" s="19"/>
      <c r="E567" s="21"/>
      <c r="F567" s="18"/>
      <c r="G567" s="18"/>
      <c r="H567" s="17"/>
      <c r="I567" s="17"/>
      <c r="J567" s="19"/>
      <c r="K567" s="23" t="str">
        <f>IF(A567="","",IF(G567&lt;&gt;"","Resolvida",IF(F567&lt;DataRef,"Vencida","No prazo")))</f>
        <v/>
      </c>
    </row>
    <row r="568" spans="1:11" x14ac:dyDescent="0.25">
      <c r="A568" s="19"/>
      <c r="B568" s="21"/>
      <c r="C568" s="18"/>
      <c r="D568" s="19"/>
      <c r="E568" s="21"/>
      <c r="F568" s="18"/>
      <c r="G568" s="18"/>
      <c r="H568" s="17"/>
      <c r="I568" s="17"/>
      <c r="J568" s="19"/>
      <c r="K568" s="23" t="str">
        <f>IF(A568="","",IF(G568&lt;&gt;"","Resolvida",IF(F568&lt;DataRef,"Vencida","No prazo")))</f>
        <v/>
      </c>
    </row>
    <row r="569" spans="1:11" x14ac:dyDescent="0.25">
      <c r="A569" s="19"/>
      <c r="B569" s="21"/>
      <c r="C569" s="18"/>
      <c r="D569" s="19"/>
      <c r="E569" s="21"/>
      <c r="F569" s="18"/>
      <c r="G569" s="18"/>
      <c r="H569" s="17"/>
      <c r="I569" s="17"/>
      <c r="J569" s="19"/>
      <c r="K569" s="23" t="str">
        <f>IF(A569="","",IF(G569&lt;&gt;"","Resolvida",IF(F569&lt;DataRef,"Vencida","No prazo")))</f>
        <v/>
      </c>
    </row>
    <row r="570" spans="1:11" x14ac:dyDescent="0.25">
      <c r="A570" s="19"/>
      <c r="B570" s="21"/>
      <c r="C570" s="18"/>
      <c r="D570" s="19"/>
      <c r="E570" s="21"/>
      <c r="F570" s="18"/>
      <c r="G570" s="18"/>
      <c r="H570" s="17"/>
      <c r="I570" s="17"/>
      <c r="J570" s="19"/>
      <c r="K570" s="23" t="str">
        <f>IF(A570="","",IF(G570&lt;&gt;"","Resolvida",IF(F570&lt;DataRef,"Vencida","No prazo")))</f>
        <v/>
      </c>
    </row>
    <row r="571" spans="1:11" x14ac:dyDescent="0.25">
      <c r="A571" s="19"/>
      <c r="B571" s="21"/>
      <c r="C571" s="18"/>
      <c r="D571" s="19"/>
      <c r="E571" s="21"/>
      <c r="F571" s="18"/>
      <c r="G571" s="18"/>
      <c r="H571" s="17"/>
      <c r="I571" s="17"/>
      <c r="J571" s="19"/>
      <c r="K571" s="23" t="str">
        <f>IF(A571="","",IF(G571&lt;&gt;"","Resolvida",IF(F571&lt;DataRef,"Vencida","No prazo")))</f>
        <v/>
      </c>
    </row>
    <row r="572" spans="1:11" x14ac:dyDescent="0.25">
      <c r="A572" s="19"/>
      <c r="B572" s="21"/>
      <c r="C572" s="18"/>
      <c r="D572" s="19"/>
      <c r="E572" s="21"/>
      <c r="F572" s="18"/>
      <c r="G572" s="18"/>
      <c r="H572" s="17"/>
      <c r="I572" s="17"/>
      <c r="J572" s="19"/>
      <c r="K572" s="23" t="str">
        <f>IF(A572="","",IF(G572&lt;&gt;"","Resolvida",IF(F572&lt;DataRef,"Vencida","No prazo")))</f>
        <v/>
      </c>
    </row>
    <row r="573" spans="1:11" x14ac:dyDescent="0.25">
      <c r="A573" s="19"/>
      <c r="B573" s="21"/>
      <c r="C573" s="18"/>
      <c r="D573" s="19"/>
      <c r="E573" s="21"/>
      <c r="F573" s="18"/>
      <c r="G573" s="18"/>
      <c r="H573" s="17"/>
      <c r="I573" s="17"/>
      <c r="J573" s="19"/>
      <c r="K573" s="23" t="str">
        <f>IF(A573="","",IF(G573&lt;&gt;"","Resolvida",IF(F573&lt;DataRef,"Vencida","No prazo")))</f>
        <v/>
      </c>
    </row>
    <row r="574" spans="1:11" x14ac:dyDescent="0.25">
      <c r="A574" s="19"/>
      <c r="B574" s="21"/>
      <c r="C574" s="18"/>
      <c r="D574" s="19"/>
      <c r="E574" s="21"/>
      <c r="F574" s="18"/>
      <c r="G574" s="18"/>
      <c r="H574" s="17"/>
      <c r="I574" s="17"/>
      <c r="J574" s="19"/>
      <c r="K574" s="23" t="str">
        <f>IF(A574="","",IF(G574&lt;&gt;"","Resolvida",IF(F574&lt;DataRef,"Vencida","No prazo")))</f>
        <v/>
      </c>
    </row>
    <row r="575" spans="1:11" x14ac:dyDescent="0.25">
      <c r="A575" s="19"/>
      <c r="B575" s="21"/>
      <c r="C575" s="18"/>
      <c r="D575" s="19"/>
      <c r="E575" s="21"/>
      <c r="F575" s="18"/>
      <c r="G575" s="18"/>
      <c r="H575" s="17"/>
      <c r="I575" s="17"/>
      <c r="J575" s="19"/>
      <c r="K575" s="23" t="str">
        <f>IF(A575="","",IF(G575&lt;&gt;"","Resolvida",IF(F575&lt;DataRef,"Vencida","No prazo")))</f>
        <v/>
      </c>
    </row>
    <row r="576" spans="1:11" x14ac:dyDescent="0.25">
      <c r="A576" s="19"/>
      <c r="B576" s="21"/>
      <c r="C576" s="18"/>
      <c r="D576" s="19"/>
      <c r="E576" s="21"/>
      <c r="F576" s="18"/>
      <c r="G576" s="18"/>
      <c r="H576" s="17"/>
      <c r="I576" s="17"/>
      <c r="J576" s="19"/>
      <c r="K576" s="23" t="str">
        <f>IF(A576="","",IF(G576&lt;&gt;"","Resolvida",IF(F576&lt;DataRef,"Vencida","No prazo")))</f>
        <v/>
      </c>
    </row>
    <row r="577" spans="1:11" x14ac:dyDescent="0.25">
      <c r="A577" s="19"/>
      <c r="B577" s="21"/>
      <c r="C577" s="18"/>
      <c r="D577" s="19"/>
      <c r="E577" s="21"/>
      <c r="F577" s="18"/>
      <c r="G577" s="18"/>
      <c r="H577" s="17"/>
      <c r="I577" s="17"/>
      <c r="J577" s="19"/>
      <c r="K577" s="23" t="str">
        <f>IF(A577="","",IF(G577&lt;&gt;"","Resolvida",IF(F577&lt;DataRef,"Vencida","No prazo")))</f>
        <v/>
      </c>
    </row>
    <row r="578" spans="1:11" x14ac:dyDescent="0.25">
      <c r="A578" s="19"/>
      <c r="B578" s="21"/>
      <c r="C578" s="18"/>
      <c r="D578" s="19"/>
      <c r="E578" s="21"/>
      <c r="F578" s="18"/>
      <c r="G578" s="18"/>
      <c r="H578" s="17"/>
      <c r="I578" s="17"/>
      <c r="J578" s="19"/>
      <c r="K578" s="23" t="str">
        <f>IF(A578="","",IF(G578&lt;&gt;"","Resolvida",IF(F578&lt;DataRef,"Vencida","No prazo")))</f>
        <v/>
      </c>
    </row>
    <row r="579" spans="1:11" x14ac:dyDescent="0.25">
      <c r="A579" s="19"/>
      <c r="B579" s="21"/>
      <c r="C579" s="18"/>
      <c r="D579" s="19"/>
      <c r="E579" s="21"/>
      <c r="F579" s="18"/>
      <c r="G579" s="18"/>
      <c r="H579" s="17"/>
      <c r="I579" s="17"/>
      <c r="J579" s="19"/>
      <c r="K579" s="23" t="str">
        <f>IF(A579="","",IF(G579&lt;&gt;"","Resolvida",IF(F579&lt;DataRef,"Vencida","No prazo")))</f>
        <v/>
      </c>
    </row>
    <row r="580" spans="1:11" x14ac:dyDescent="0.25">
      <c r="A580" s="19"/>
      <c r="B580" s="21"/>
      <c r="C580" s="18"/>
      <c r="D580" s="19"/>
      <c r="E580" s="21"/>
      <c r="F580" s="18"/>
      <c r="G580" s="18"/>
      <c r="H580" s="17"/>
      <c r="I580" s="17"/>
      <c r="J580" s="19"/>
      <c r="K580" s="23" t="str">
        <f>IF(A580="","",IF(G580&lt;&gt;"","Resolvida",IF(F580&lt;DataRef,"Vencida","No prazo")))</f>
        <v/>
      </c>
    </row>
    <row r="581" spans="1:11" x14ac:dyDescent="0.25">
      <c r="A581" s="19"/>
      <c r="B581" s="21"/>
      <c r="C581" s="18"/>
      <c r="D581" s="19"/>
      <c r="E581" s="21"/>
      <c r="F581" s="18"/>
      <c r="G581" s="18"/>
      <c r="H581" s="17"/>
      <c r="I581" s="17"/>
      <c r="J581" s="19"/>
      <c r="K581" s="23" t="str">
        <f>IF(A581="","",IF(G581&lt;&gt;"","Resolvida",IF(F581&lt;DataRef,"Vencida","No prazo")))</f>
        <v/>
      </c>
    </row>
    <row r="582" spans="1:11" x14ac:dyDescent="0.25">
      <c r="A582" s="19"/>
      <c r="B582" s="21"/>
      <c r="C582" s="18"/>
      <c r="D582" s="19"/>
      <c r="E582" s="21"/>
      <c r="F582" s="18"/>
      <c r="G582" s="18"/>
      <c r="H582" s="17"/>
      <c r="I582" s="17"/>
      <c r="J582" s="19"/>
      <c r="K582" s="23" t="str">
        <f>IF(A582="","",IF(G582&lt;&gt;"","Resolvida",IF(F582&lt;DataRef,"Vencida","No prazo")))</f>
        <v/>
      </c>
    </row>
    <row r="583" spans="1:11" x14ac:dyDescent="0.25">
      <c r="A583" s="19"/>
      <c r="B583" s="21"/>
      <c r="C583" s="18"/>
      <c r="D583" s="19"/>
      <c r="E583" s="21"/>
      <c r="F583" s="18"/>
      <c r="G583" s="18"/>
      <c r="H583" s="17"/>
      <c r="I583" s="17"/>
      <c r="J583" s="19"/>
      <c r="K583" s="23" t="str">
        <f>IF(A583="","",IF(G583&lt;&gt;"","Resolvida",IF(F583&lt;DataRef,"Vencida","No prazo")))</f>
        <v/>
      </c>
    </row>
    <row r="584" spans="1:11" x14ac:dyDescent="0.25">
      <c r="A584" s="19"/>
      <c r="B584" s="21"/>
      <c r="C584" s="18"/>
      <c r="D584" s="19"/>
      <c r="E584" s="21"/>
      <c r="F584" s="18"/>
      <c r="G584" s="18"/>
      <c r="H584" s="17"/>
      <c r="I584" s="17"/>
      <c r="J584" s="19"/>
      <c r="K584" s="23" t="str">
        <f>IF(A584="","",IF(G584&lt;&gt;"","Resolvida",IF(F584&lt;DataRef,"Vencida","No prazo")))</f>
        <v/>
      </c>
    </row>
    <row r="585" spans="1:11" x14ac:dyDescent="0.25">
      <c r="A585" s="19"/>
      <c r="B585" s="21"/>
      <c r="C585" s="18"/>
      <c r="D585" s="19"/>
      <c r="E585" s="21"/>
      <c r="F585" s="18"/>
      <c r="G585" s="18"/>
      <c r="H585" s="17"/>
      <c r="I585" s="17"/>
      <c r="J585" s="19"/>
      <c r="K585" s="23" t="str">
        <f>IF(A585="","",IF(G585&lt;&gt;"","Resolvida",IF(F585&lt;DataRef,"Vencida","No prazo")))</f>
        <v/>
      </c>
    </row>
    <row r="586" spans="1:11" x14ac:dyDescent="0.25">
      <c r="A586" s="19"/>
      <c r="B586" s="21"/>
      <c r="C586" s="18"/>
      <c r="D586" s="19"/>
      <c r="E586" s="21"/>
      <c r="F586" s="18"/>
      <c r="G586" s="18"/>
      <c r="H586" s="17"/>
      <c r="I586" s="17"/>
      <c r="J586" s="19"/>
      <c r="K586" s="23" t="str">
        <f>IF(A586="","",IF(G586&lt;&gt;"","Resolvida",IF(F586&lt;DataRef,"Vencida","No prazo")))</f>
        <v/>
      </c>
    </row>
    <row r="587" spans="1:11" x14ac:dyDescent="0.25">
      <c r="A587" s="19"/>
      <c r="B587" s="21"/>
      <c r="C587" s="18"/>
      <c r="D587" s="19"/>
      <c r="E587" s="21"/>
      <c r="F587" s="18"/>
      <c r="G587" s="18"/>
      <c r="H587" s="17"/>
      <c r="I587" s="17"/>
      <c r="J587" s="19"/>
      <c r="K587" s="23" t="str">
        <f>IF(A587="","",IF(G587&lt;&gt;"","Resolvida",IF(F587&lt;DataRef,"Vencida","No prazo")))</f>
        <v/>
      </c>
    </row>
    <row r="588" spans="1:11" x14ac:dyDescent="0.25">
      <c r="A588" s="19"/>
      <c r="B588" s="21"/>
      <c r="C588" s="18"/>
      <c r="D588" s="19"/>
      <c r="E588" s="21"/>
      <c r="F588" s="18"/>
      <c r="G588" s="18"/>
      <c r="H588" s="17"/>
      <c r="I588" s="17"/>
      <c r="J588" s="19"/>
      <c r="K588" s="23" t="str">
        <f>IF(A588="","",IF(G588&lt;&gt;"","Resolvida",IF(F588&lt;DataRef,"Vencida","No prazo")))</f>
        <v/>
      </c>
    </row>
    <row r="589" spans="1:11" x14ac:dyDescent="0.25">
      <c r="A589" s="19"/>
      <c r="B589" s="21"/>
      <c r="C589" s="18"/>
      <c r="D589" s="19"/>
      <c r="E589" s="21"/>
      <c r="F589" s="18"/>
      <c r="G589" s="18"/>
      <c r="H589" s="17"/>
      <c r="I589" s="17"/>
      <c r="J589" s="19"/>
      <c r="K589" s="23" t="str">
        <f>IF(A589="","",IF(G589&lt;&gt;"","Resolvida",IF(F589&lt;DataRef,"Vencida","No prazo")))</f>
        <v/>
      </c>
    </row>
    <row r="590" spans="1:11" x14ac:dyDescent="0.25">
      <c r="A590" s="19"/>
      <c r="B590" s="21"/>
      <c r="C590" s="18"/>
      <c r="D590" s="19"/>
      <c r="E590" s="21"/>
      <c r="F590" s="18"/>
      <c r="G590" s="18"/>
      <c r="H590" s="17"/>
      <c r="I590" s="17"/>
      <c r="J590" s="19"/>
      <c r="K590" s="23" t="str">
        <f>IF(A590="","",IF(G590&lt;&gt;"","Resolvida",IF(F590&lt;DataRef,"Vencida","No prazo")))</f>
        <v/>
      </c>
    </row>
    <row r="591" spans="1:11" x14ac:dyDescent="0.25">
      <c r="A591" s="19"/>
      <c r="B591" s="21"/>
      <c r="C591" s="18"/>
      <c r="D591" s="19"/>
      <c r="E591" s="21"/>
      <c r="F591" s="18"/>
      <c r="G591" s="18"/>
      <c r="H591" s="17"/>
      <c r="I591" s="17"/>
      <c r="J591" s="19"/>
      <c r="K591" s="23" t="str">
        <f>IF(A591="","",IF(G591&lt;&gt;"","Resolvida",IF(F591&lt;DataRef,"Vencida","No prazo")))</f>
        <v/>
      </c>
    </row>
    <row r="592" spans="1:11" x14ac:dyDescent="0.25">
      <c r="A592" s="19"/>
      <c r="B592" s="21"/>
      <c r="C592" s="18"/>
      <c r="D592" s="19"/>
      <c r="E592" s="21"/>
      <c r="F592" s="18"/>
      <c r="G592" s="18"/>
      <c r="H592" s="17"/>
      <c r="I592" s="17"/>
      <c r="J592" s="19"/>
      <c r="K592" s="23" t="str">
        <f>IF(A592="","",IF(G592&lt;&gt;"","Resolvida",IF(F592&lt;DataRef,"Vencida","No prazo")))</f>
        <v/>
      </c>
    </row>
    <row r="593" spans="1:11" x14ac:dyDescent="0.25">
      <c r="A593" s="19"/>
      <c r="B593" s="21"/>
      <c r="C593" s="18"/>
      <c r="D593" s="19"/>
      <c r="E593" s="21"/>
      <c r="F593" s="18"/>
      <c r="G593" s="18"/>
      <c r="H593" s="17"/>
      <c r="I593" s="17"/>
      <c r="J593" s="19"/>
      <c r="K593" s="23" t="str">
        <f>IF(A593="","",IF(G593&lt;&gt;"","Resolvida",IF(F593&lt;DataRef,"Vencida","No prazo")))</f>
        <v/>
      </c>
    </row>
    <row r="594" spans="1:11" x14ac:dyDescent="0.25">
      <c r="A594" s="19"/>
      <c r="B594" s="21"/>
      <c r="C594" s="18"/>
      <c r="D594" s="19"/>
      <c r="E594" s="21"/>
      <c r="F594" s="18"/>
      <c r="G594" s="18"/>
      <c r="H594" s="17"/>
      <c r="I594" s="17"/>
      <c r="J594" s="19"/>
      <c r="K594" s="23" t="str">
        <f>IF(A594="","",IF(G594&lt;&gt;"","Resolvida",IF(F594&lt;DataRef,"Vencida","No prazo")))</f>
        <v/>
      </c>
    </row>
    <row r="595" spans="1:11" x14ac:dyDescent="0.25">
      <c r="A595" s="19"/>
      <c r="B595" s="21"/>
      <c r="C595" s="18"/>
      <c r="D595" s="19"/>
      <c r="E595" s="21"/>
      <c r="F595" s="18"/>
      <c r="G595" s="18"/>
      <c r="H595" s="17"/>
      <c r="I595" s="17"/>
      <c r="J595" s="19"/>
      <c r="K595" s="23" t="str">
        <f>IF(A595="","",IF(G595&lt;&gt;"","Resolvida",IF(F595&lt;DataRef,"Vencida","No prazo")))</f>
        <v/>
      </c>
    </row>
    <row r="596" spans="1:11" x14ac:dyDescent="0.25">
      <c r="A596" s="19"/>
      <c r="B596" s="21"/>
      <c r="C596" s="18"/>
      <c r="D596" s="19"/>
      <c r="E596" s="21"/>
      <c r="F596" s="18"/>
      <c r="G596" s="18"/>
      <c r="H596" s="17"/>
      <c r="I596" s="17"/>
      <c r="J596" s="19"/>
      <c r="K596" s="23" t="str">
        <f>IF(A596="","",IF(G596&lt;&gt;"","Resolvida",IF(F596&lt;DataRef,"Vencida","No prazo")))</f>
        <v/>
      </c>
    </row>
    <row r="597" spans="1:11" x14ac:dyDescent="0.25">
      <c r="A597" s="19"/>
      <c r="B597" s="21"/>
      <c r="C597" s="18"/>
      <c r="D597" s="19"/>
      <c r="E597" s="21"/>
      <c r="F597" s="18"/>
      <c r="G597" s="18"/>
      <c r="H597" s="17"/>
      <c r="I597" s="17"/>
      <c r="J597" s="19"/>
      <c r="K597" s="23" t="str">
        <f>IF(A597="","",IF(G597&lt;&gt;"","Resolvida",IF(F597&lt;DataRef,"Vencida","No prazo")))</f>
        <v/>
      </c>
    </row>
    <row r="598" spans="1:11" x14ac:dyDescent="0.25">
      <c r="A598" s="19"/>
      <c r="B598" s="21"/>
      <c r="C598" s="18"/>
      <c r="D598" s="19"/>
      <c r="E598" s="21"/>
      <c r="F598" s="18"/>
      <c r="G598" s="18"/>
      <c r="H598" s="17"/>
      <c r="I598" s="17"/>
      <c r="J598" s="19"/>
      <c r="K598" s="23" t="str">
        <f>IF(A598="","",IF(G598&lt;&gt;"","Resolvida",IF(F598&lt;DataRef,"Vencida","No prazo")))</f>
        <v/>
      </c>
    </row>
    <row r="599" spans="1:11" x14ac:dyDescent="0.25">
      <c r="A599" s="19"/>
      <c r="B599" s="21"/>
      <c r="C599" s="18"/>
      <c r="D599" s="19"/>
      <c r="E599" s="21"/>
      <c r="F599" s="18"/>
      <c r="G599" s="18"/>
      <c r="H599" s="17"/>
      <c r="I599" s="17"/>
      <c r="J599" s="19"/>
      <c r="K599" s="23" t="str">
        <f>IF(A599="","",IF(G599&lt;&gt;"","Resolvida",IF(F599&lt;DataRef,"Vencida","No prazo")))</f>
        <v/>
      </c>
    </row>
    <row r="600" spans="1:11" x14ac:dyDescent="0.25">
      <c r="A600" s="19"/>
      <c r="B600" s="21"/>
      <c r="C600" s="18"/>
      <c r="D600" s="19"/>
      <c r="E600" s="21"/>
      <c r="F600" s="18"/>
      <c r="G600" s="18"/>
      <c r="H600" s="17"/>
      <c r="I600" s="17"/>
      <c r="J600" s="19"/>
      <c r="K600" s="23" t="str">
        <f>IF(A600="","",IF(G600&lt;&gt;"","Resolvida",IF(F600&lt;DataRef,"Vencida","No prazo")))</f>
        <v/>
      </c>
    </row>
    <row r="601" spans="1:11" x14ac:dyDescent="0.25">
      <c r="A601" s="19"/>
      <c r="B601" s="21"/>
      <c r="C601" s="18"/>
      <c r="D601" s="19"/>
      <c r="E601" s="21"/>
      <c r="F601" s="18"/>
      <c r="G601" s="18"/>
      <c r="H601" s="17"/>
      <c r="I601" s="17"/>
      <c r="J601" s="19"/>
      <c r="K601" s="23" t="str">
        <f>IF(A601="","",IF(G601&lt;&gt;"","Resolvida",IF(F601&lt;DataRef,"Vencida","No prazo")))</f>
        <v/>
      </c>
    </row>
    <row r="602" spans="1:11" x14ac:dyDescent="0.25">
      <c r="A602" s="19"/>
      <c r="B602" s="21"/>
      <c r="C602" s="18"/>
      <c r="D602" s="19"/>
      <c r="E602" s="21"/>
      <c r="F602" s="18"/>
      <c r="G602" s="18"/>
      <c r="H602" s="17"/>
      <c r="I602" s="17"/>
      <c r="J602" s="19"/>
      <c r="K602" s="23" t="str">
        <f>IF(A602="","",IF(G602&lt;&gt;"","Resolvida",IF(F602&lt;DataRef,"Vencida","No prazo")))</f>
        <v/>
      </c>
    </row>
    <row r="603" spans="1:11" x14ac:dyDescent="0.25">
      <c r="A603" s="19"/>
      <c r="B603" s="21"/>
      <c r="C603" s="18"/>
      <c r="D603" s="19"/>
      <c r="E603" s="21"/>
      <c r="F603" s="18"/>
      <c r="G603" s="18"/>
      <c r="H603" s="17"/>
      <c r="I603" s="17"/>
      <c r="J603" s="19"/>
      <c r="K603" s="23" t="str">
        <f>IF(A603="","",IF(G603&lt;&gt;"","Resolvida",IF(F603&lt;DataRef,"Vencida","No prazo")))</f>
        <v/>
      </c>
    </row>
    <row r="604" spans="1:11" x14ac:dyDescent="0.25">
      <c r="A604" s="19"/>
      <c r="B604" s="21"/>
      <c r="C604" s="18"/>
      <c r="D604" s="19"/>
      <c r="E604" s="21"/>
      <c r="F604" s="18"/>
      <c r="G604" s="18"/>
      <c r="H604" s="17"/>
      <c r="I604" s="17"/>
      <c r="J604" s="19"/>
      <c r="K604" s="23" t="str">
        <f>IF(A604="","",IF(G604&lt;&gt;"","Resolvida",IF(F604&lt;DataRef,"Vencida","No prazo")))</f>
        <v/>
      </c>
    </row>
  </sheetData>
  <autoFilter ref="A4:K4"/>
  <mergeCells count="2">
    <mergeCell ref="A1:K1"/>
    <mergeCell ref="A2:K2"/>
  </mergeCells>
  <conditionalFormatting sqref="K5:K604">
    <cfRule type="cellIs" dxfId="0" priority="1" operator="equal">
      <formula>"Vencida"</formula>
    </cfRule>
    <cfRule type="cellIs" dxfId="1" priority="2" operator="equal">
      <formula>"Resolvida"</formula>
    </cfRule>
    <cfRule type="cellIs" dxfId="2" priority="3" operator="equal">
      <formula>"No prazo"</formula>
    </cfRule>
  </conditionalFormatting>
  <conditionalFormatting sqref="F5:F604">
    <cfRule type="expression" dxfId="3" priority="4">
      <formula>AND($F5&lt;&gt;"",$G5="",$F5&lt;DataRef)</formula>
    </cfRule>
  </conditionalFormatting>
  <conditionalFormatting sqref="H5:I604">
    <cfRule type="cellIs" dxfId="4" priority="5" operator="equal">
      <formula>"Alto"</formula>
    </cfRule>
    <cfRule type="cellIs" dxfId="5" priority="6" operator="equal">
      <formula>"Médio"</formula>
    </cfRule>
    <cfRule type="cellIs" dxfId="6" priority="7" operator="equal">
      <formula>"Baixo"</formula>
    </cfRule>
  </conditionalFormatting>
  <dataValidations count="4">
    <dataValidation type="list" allowBlank="1" showErrorMessage="1" errorTitle="Frente" error="Escolha uma frente da aba Frentes." sqref="A5:A604">
      <formula1>Frentes!$A$5:$A$64</formula1>
    </dataValidation>
    <dataValidation type="list" allowBlank="1" showErrorMessage="1" errorTitle="Tipo de restrição" error="Escolha um tipo da lista." sqref="B5:B604">
      <formula1>Listas!$A$5:$A$10</formula1>
    </dataValidation>
    <dataValidation type="date" operator="greaterThan" allowBlank="1" showErrorMessage="1" errorTitle="Data" error="Digite uma data válida (dd/mm/aaaa)." sqref="F5:G604">
      <formula1>25569.00042275463</formula1>
    </dataValidation>
    <dataValidation type="list" allowBlank="1" showErrorMessage="1" errorTitle="Impacto" error="Use Alto, Médio ou Baixo." sqref="H5:I604">
      <formula1>Listas!$B$5:$B$7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EB5"/>
    <pageSetUpPr fitToPage="1"/>
  </sheetPr>
  <dimension ref="A1:L404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34" customWidth="1"/>
    <col min="5" max="7" width="12" customWidth="1"/>
    <col min="8" max="8" width="11" customWidth="1"/>
    <col min="9" max="9" width="56" customWidth="1"/>
    <col min="10" max="10" width="14" customWidth="1"/>
    <col min="11" max="11" width="13" customWidth="1"/>
    <col min="12" max="12" width="12" customWidth="1"/>
  </cols>
  <sheetData>
    <row r="1" ht="26" customHeight="1" spans="1:12" x14ac:dyDescent="0.25">
      <c r="A1" s="13" t="s">
        <v>152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ht="32" customHeight="1" spans="1:12" x14ac:dyDescent="0.25">
      <c r="A2" s="2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6" customHeight="1" x14ac:dyDescent="0.25"/>
    <row r="4" ht="34" customHeight="1" spans="1:12" x14ac:dyDescent="0.25">
      <c r="A4" s="15" t="s">
        <v>154</v>
      </c>
      <c r="B4" s="15" t="s">
        <v>45</v>
      </c>
      <c r="C4" s="15" t="s">
        <v>155</v>
      </c>
      <c r="D4" s="14" t="s">
        <v>156</v>
      </c>
      <c r="E4" s="15" t="s">
        <v>157</v>
      </c>
      <c r="F4" s="15" t="s">
        <v>158</v>
      </c>
      <c r="G4" s="15" t="s">
        <v>159</v>
      </c>
      <c r="H4" s="15" t="s">
        <v>160</v>
      </c>
      <c r="I4" s="15" t="s">
        <v>161</v>
      </c>
      <c r="J4" s="14" t="s">
        <v>162</v>
      </c>
      <c r="K4" s="14" t="s">
        <v>163</v>
      </c>
      <c r="L4" s="14" t="s">
        <v>164</v>
      </c>
    </row>
    <row r="5" spans="1:12" x14ac:dyDescent="0.25">
      <c r="A5" s="18">
        <v>46300</v>
      </c>
      <c r="B5" s="16" t="s">
        <v>55</v>
      </c>
      <c r="C5" s="19" t="s">
        <v>165</v>
      </c>
      <c r="D5" s="23" t="str">
        <f>IF(B5="","",IFERROR(VLOOKUP(B5,Frentes!$A$5:$B$64,2,0),""))</f>
        <v>m²</v>
      </c>
      <c r="E5" s="17">
        <v>207</v>
      </c>
      <c r="F5" s="17">
        <v>5</v>
      </c>
      <c r="G5" s="17">
        <v>114</v>
      </c>
      <c r="H5" s="17">
        <v>4</v>
      </c>
      <c r="I5" s="19"/>
      <c r="J5" s="23">
        <f>IF(AND(ISNUMBER(E5),ISNUMBER(F5)),IF(F5&gt;0,E5/F5,""),"")</f>
        <v>41.4</v>
      </c>
      <c r="K5" s="23">
        <f>IF(AND(ISNUMBER(G5),ISNUMBER(H5)),IF(H5&gt;0,G5/H5,""),"")</f>
        <v>28.5</v>
      </c>
      <c r="L5" s="24">
        <f>IF(AND(ISNUMBER(J5),ISNUMBER(K5)),IF(J5&gt;0,K5/J5,""),"")</f>
        <v>0.6884057971014493</v>
      </c>
    </row>
    <row r="6" spans="1:12" x14ac:dyDescent="0.25">
      <c r="A6" s="18">
        <v>46300</v>
      </c>
      <c r="B6" s="16" t="s">
        <v>55</v>
      </c>
      <c r="C6" s="19" t="s">
        <v>166</v>
      </c>
      <c r="D6" s="23" t="str">
        <f>IF(B6="","",IFERROR(VLOOKUP(B6,Frentes!$A$5:$B$64,2,0),""))</f>
        <v>m²</v>
      </c>
      <c r="E6" s="17">
        <v>156</v>
      </c>
      <c r="F6" s="17">
        <v>3</v>
      </c>
      <c r="G6" s="17">
        <v>98</v>
      </c>
      <c r="H6" s="17">
        <v>3</v>
      </c>
      <c r="I6" s="19"/>
      <c r="J6" s="23">
        <f>IF(AND(ISNUMBER(E6),ISNUMBER(F6)),IF(F6&gt;0,E6/F6,""),"")</f>
        <v>52</v>
      </c>
      <c r="K6" s="23">
        <f>IF(AND(ISNUMBER(G6),ISNUMBER(H6)),IF(H6&gt;0,G6/H6,""),"")</f>
        <v>32.666666666666664</v>
      </c>
      <c r="L6" s="24">
        <f>IF(AND(ISNUMBER(J6),ISNUMBER(K6)),IF(J6&gt;0,K6/J6,""),"")</f>
        <v>0.6282051282051282</v>
      </c>
    </row>
    <row r="7" spans="1:12" x14ac:dyDescent="0.25">
      <c r="A7" s="18">
        <v>46300</v>
      </c>
      <c r="B7" s="16" t="s">
        <v>55</v>
      </c>
      <c r="C7" s="19" t="s">
        <v>167</v>
      </c>
      <c r="D7" s="23" t="str">
        <f>IF(B7="","",IFERROR(VLOOKUP(B7,Frentes!$A$5:$B$64,2,0),""))</f>
        <v>m²</v>
      </c>
      <c r="E7" s="17">
        <v>79</v>
      </c>
      <c r="F7" s="17">
        <v>2</v>
      </c>
      <c r="G7" s="17">
        <v>60</v>
      </c>
      <c r="H7" s="17">
        <v>2</v>
      </c>
      <c r="I7" s="19"/>
      <c r="J7" s="23">
        <f>IF(AND(ISNUMBER(E7),ISNUMBER(F7)),IF(F7&gt;0,E7/F7,""),"")</f>
        <v>39.5</v>
      </c>
      <c r="K7" s="23">
        <f>IF(AND(ISNUMBER(G7),ISNUMBER(H7)),IF(H7&gt;0,G7/H7,""),"")</f>
        <v>30</v>
      </c>
      <c r="L7" s="24">
        <f>IF(AND(ISNUMBER(J7),ISNUMBER(K7)),IF(J7&gt;0,K7/J7,""),"")</f>
        <v>0.759493670886076</v>
      </c>
    </row>
    <row r="8" spans="1:12" x14ac:dyDescent="0.25">
      <c r="A8" s="18">
        <v>46300</v>
      </c>
      <c r="B8" s="16" t="s">
        <v>55</v>
      </c>
      <c r="C8" s="19" t="s">
        <v>168</v>
      </c>
      <c r="D8" s="23" t="str">
        <f>IF(B8="","",IFERROR(VLOOKUP(B8,Frentes!$A$5:$B$64,2,0),""))</f>
        <v>m²</v>
      </c>
      <c r="E8" s="17">
        <v>78</v>
      </c>
      <c r="F8" s="17">
        <v>2</v>
      </c>
      <c r="G8" s="17">
        <v>56</v>
      </c>
      <c r="H8" s="17">
        <v>1</v>
      </c>
      <c r="I8" s="19"/>
      <c r="J8" s="23">
        <f>IF(AND(ISNUMBER(E8),ISNUMBER(F8)),IF(F8&gt;0,E8/F8,""),"")</f>
        <v>39</v>
      </c>
      <c r="K8" s="23">
        <f>IF(AND(ISNUMBER(G8),ISNUMBER(H8)),IF(H8&gt;0,G8/H8,""),"")</f>
        <v>56</v>
      </c>
      <c r="L8" s="24">
        <f>IF(AND(ISNUMBER(J8),ISNUMBER(K8)),IF(J8&gt;0,K8/J8,""),"")</f>
        <v>1.435897435897436</v>
      </c>
    </row>
    <row r="9" spans="1:12" x14ac:dyDescent="0.25">
      <c r="A9" s="18">
        <v>46300</v>
      </c>
      <c r="B9" s="16" t="s">
        <v>55</v>
      </c>
      <c r="C9" s="19" t="s">
        <v>169</v>
      </c>
      <c r="D9" s="23" t="str">
        <f>IF(B9="","",IFERROR(VLOOKUP(B9,Frentes!$A$5:$B$64,2,0),""))</f>
        <v>m²</v>
      </c>
      <c r="E9" s="17">
        <v>80</v>
      </c>
      <c r="F9" s="17">
        <v>2</v>
      </c>
      <c r="G9" s="17">
        <v>44</v>
      </c>
      <c r="H9" s="17">
        <v>2</v>
      </c>
      <c r="I9" s="19"/>
      <c r="J9" s="23">
        <f>IF(AND(ISNUMBER(E9),ISNUMBER(F9)),IF(F9&gt;0,E9/F9,""),"")</f>
        <v>40</v>
      </c>
      <c r="K9" s="23">
        <f>IF(AND(ISNUMBER(G9),ISNUMBER(H9)),IF(H9&gt;0,G9/H9,""),"")</f>
        <v>22</v>
      </c>
      <c r="L9" s="24">
        <f>IF(AND(ISNUMBER(J9),ISNUMBER(K9)),IF(J9&gt;0,K9/J9,""),"")</f>
        <v>0.55</v>
      </c>
    </row>
    <row r="10" spans="1:12" x14ac:dyDescent="0.25">
      <c r="A10" s="18">
        <v>46300</v>
      </c>
      <c r="B10" s="16" t="s">
        <v>58</v>
      </c>
      <c r="C10" s="19" t="s">
        <v>170</v>
      </c>
      <c r="D10" s="23" t="str">
        <f>IF(B10="","",IFERROR(VLOOKUP(B10,Frentes!$A$5:$B$64,2,0),""))</f>
        <v>lance</v>
      </c>
      <c r="E10" s="17">
        <v>1</v>
      </c>
      <c r="F10" s="17">
        <v>1</v>
      </c>
      <c r="G10" s="17">
        <v>1</v>
      </c>
      <c r="H10" s="17">
        <v>1</v>
      </c>
      <c r="I10" s="19"/>
      <c r="J10" s="23">
        <f>IF(AND(ISNUMBER(E10),ISNUMBER(F10)),IF(F10&gt;0,E10/F10,""),"")</f>
        <v>1</v>
      </c>
      <c r="K10" s="23">
        <f>IF(AND(ISNUMBER(G10),ISNUMBER(H10)),IF(H10&gt;0,G10/H10,""),"")</f>
        <v>1</v>
      </c>
      <c r="L10" s="24">
        <f>IF(AND(ISNUMBER(J10),ISNUMBER(K10)),IF(J10&gt;0,K10/J10,""),"")</f>
        <v>1</v>
      </c>
    </row>
    <row r="11" spans="1:12" x14ac:dyDescent="0.25">
      <c r="A11" s="18">
        <v>46300</v>
      </c>
      <c r="B11" s="16" t="s">
        <v>58</v>
      </c>
      <c r="C11" s="19" t="s">
        <v>171</v>
      </c>
      <c r="D11" s="23" t="str">
        <f>IF(B11="","",IFERROR(VLOOKUP(B11,Frentes!$A$5:$B$64,2,0),""))</f>
        <v>lance</v>
      </c>
      <c r="E11" s="17">
        <v>0</v>
      </c>
      <c r="F11" s="17">
        <v>1</v>
      </c>
      <c r="G11" s="17">
        <v>0</v>
      </c>
      <c r="H11" s="17">
        <v>1</v>
      </c>
      <c r="I11" s="19"/>
      <c r="J11" s="23">
        <f>IF(AND(ISNUMBER(E11),ISNUMBER(F11)),IF(F11&gt;0,E11/F11,""),"")</f>
        <v>0</v>
      </c>
      <c r="K11" s="23">
        <f>IF(AND(ISNUMBER(G11),ISNUMBER(H11)),IF(H11&gt;0,G11/H11,""),"")</f>
        <v>0</v>
      </c>
      <c r="L11" s="24" t="str">
        <f>IF(AND(ISNUMBER(J11),ISNUMBER(K11)),IF(J11&gt;0,K11/J11,""),"")</f>
        <v/>
      </c>
    </row>
    <row r="12" spans="1:12" x14ac:dyDescent="0.25">
      <c r="A12" s="18">
        <v>46300</v>
      </c>
      <c r="B12" s="16" t="s">
        <v>58</v>
      </c>
      <c r="C12" s="19" t="s">
        <v>172</v>
      </c>
      <c r="D12" s="23" t="str">
        <f>IF(B12="","",IFERROR(VLOOKUP(B12,Frentes!$A$5:$B$64,2,0),""))</f>
        <v>lance</v>
      </c>
      <c r="E12" s="17">
        <v>0</v>
      </c>
      <c r="F12" s="17">
        <v>0</v>
      </c>
      <c r="G12" s="17">
        <v>0</v>
      </c>
      <c r="H12" s="17">
        <v>0</v>
      </c>
      <c r="I12" s="19"/>
      <c r="J12" s="23" t="str">
        <f>IF(AND(ISNUMBER(E12),ISNUMBER(F12)),IF(F12&gt;0,E12/F12,""),"")</f>
        <v/>
      </c>
      <c r="K12" s="23" t="str">
        <f>IF(AND(ISNUMBER(G12),ISNUMBER(H12)),IF(H12&gt;0,G12/H12,""),"")</f>
        <v/>
      </c>
      <c r="L12" s="24" t="str">
        <f>IF(AND(ISNUMBER(J12),ISNUMBER(K12)),IF(J12&gt;0,K12/J12,""),"")</f>
        <v/>
      </c>
    </row>
    <row r="13" spans="1:12" x14ac:dyDescent="0.25">
      <c r="A13" s="18">
        <v>46300</v>
      </c>
      <c r="B13" s="16" t="s">
        <v>58</v>
      </c>
      <c r="C13" s="19" t="s">
        <v>173</v>
      </c>
      <c r="D13" s="23" t="str">
        <f>IF(B13="","",IFERROR(VLOOKUP(B13,Frentes!$A$5:$B$64,2,0),""))</f>
        <v>lance</v>
      </c>
      <c r="E13" s="17">
        <v>0</v>
      </c>
      <c r="F13" s="17">
        <v>0</v>
      </c>
      <c r="G13" s="17">
        <v>0</v>
      </c>
      <c r="H13" s="17">
        <v>0</v>
      </c>
      <c r="I13" s="19"/>
      <c r="J13" s="23" t="str">
        <f>IF(AND(ISNUMBER(E13),ISNUMBER(F13)),IF(F13&gt;0,E13/F13,""),"")</f>
        <v/>
      </c>
      <c r="K13" s="23" t="str">
        <f>IF(AND(ISNUMBER(G13),ISNUMBER(H13)),IF(H13&gt;0,G13/H13,""),"")</f>
        <v/>
      </c>
      <c r="L13" s="24" t="str">
        <f>IF(AND(ISNUMBER(J13),ISNUMBER(K13)),IF(J13&gt;0,K13/J13,""),"")</f>
        <v/>
      </c>
    </row>
    <row r="14" spans="1:12" x14ac:dyDescent="0.25">
      <c r="A14" s="18">
        <v>46300</v>
      </c>
      <c r="B14" s="16" t="s">
        <v>58</v>
      </c>
      <c r="C14" s="19" t="s">
        <v>174</v>
      </c>
      <c r="D14" s="23" t="str">
        <f>IF(B14="","",IFERROR(VLOOKUP(B14,Frentes!$A$5:$B$64,2,0),""))</f>
        <v>lance</v>
      </c>
      <c r="E14" s="17">
        <v>3</v>
      </c>
      <c r="F14" s="17">
        <v>4</v>
      </c>
      <c r="G14" s="17">
        <v>3</v>
      </c>
      <c r="H14" s="17">
        <v>4</v>
      </c>
      <c r="I14" s="19"/>
      <c r="J14" s="23">
        <f>IF(AND(ISNUMBER(E14),ISNUMBER(F14)),IF(F14&gt;0,E14/F14,""),"")</f>
        <v>0.75</v>
      </c>
      <c r="K14" s="23">
        <f>IF(AND(ISNUMBER(G14),ISNUMBER(H14)),IF(H14&gt;0,G14/H14,""),"")</f>
        <v>0.75</v>
      </c>
      <c r="L14" s="24">
        <f>IF(AND(ISNUMBER(J14),ISNUMBER(K14)),IF(J14&gt;0,K14/J14,""),"")</f>
        <v>1</v>
      </c>
    </row>
    <row r="15" spans="1:12" x14ac:dyDescent="0.25">
      <c r="A15" s="18">
        <v>46300</v>
      </c>
      <c r="B15" s="16" t="s">
        <v>61</v>
      </c>
      <c r="C15" s="19" t="s">
        <v>175</v>
      </c>
      <c r="D15" s="23" t="str">
        <f>IF(B15="","",IFERROR(VLOOKUP(B15,Frentes!$A$5:$B$64,2,0),""))</f>
        <v>pontos</v>
      </c>
      <c r="E15" s="17">
        <v>27</v>
      </c>
      <c r="F15" s="17">
        <v>2</v>
      </c>
      <c r="G15" s="17">
        <v>22</v>
      </c>
      <c r="H15" s="17">
        <v>2</v>
      </c>
      <c r="I15" s="19"/>
      <c r="J15" s="23">
        <f>IF(AND(ISNUMBER(E15),ISNUMBER(F15)),IF(F15&gt;0,E15/F15,""),"")</f>
        <v>13.5</v>
      </c>
      <c r="K15" s="23">
        <f>IF(AND(ISNUMBER(G15),ISNUMBER(H15)),IF(H15&gt;0,G15/H15,""),"")</f>
        <v>11</v>
      </c>
      <c r="L15" s="24">
        <f>IF(AND(ISNUMBER(J15),ISNUMBER(K15)),IF(J15&gt;0,K15/J15,""),"")</f>
        <v>0.8148148148148148</v>
      </c>
    </row>
    <row r="16" spans="1:12" x14ac:dyDescent="0.25">
      <c r="A16" s="18">
        <v>46300</v>
      </c>
      <c r="B16" s="16" t="s">
        <v>61</v>
      </c>
      <c r="C16" s="19" t="s">
        <v>176</v>
      </c>
      <c r="D16" s="23" t="str">
        <f>IF(B16="","",IFERROR(VLOOKUP(B16,Frentes!$A$5:$B$64,2,0),""))</f>
        <v>pontos</v>
      </c>
      <c r="E16" s="17">
        <v>22</v>
      </c>
      <c r="F16" s="17">
        <v>2</v>
      </c>
      <c r="G16" s="17">
        <v>19</v>
      </c>
      <c r="H16" s="17">
        <v>2</v>
      </c>
      <c r="I16" s="19"/>
      <c r="J16" s="23">
        <f>IF(AND(ISNUMBER(E16),ISNUMBER(F16)),IF(F16&gt;0,E16/F16,""),"")</f>
        <v>11</v>
      </c>
      <c r="K16" s="23">
        <f>IF(AND(ISNUMBER(G16),ISNUMBER(H16)),IF(H16&gt;0,G16/H16,""),"")</f>
        <v>9.5</v>
      </c>
      <c r="L16" s="24">
        <f>IF(AND(ISNUMBER(J16),ISNUMBER(K16)),IF(J16&gt;0,K16/J16,""),"")</f>
        <v>0.8636363636363636</v>
      </c>
    </row>
    <row r="17" spans="1:12" x14ac:dyDescent="0.25">
      <c r="A17" s="18">
        <v>46300</v>
      </c>
      <c r="B17" s="16" t="s">
        <v>61</v>
      </c>
      <c r="C17" s="19" t="s">
        <v>177</v>
      </c>
      <c r="D17" s="23" t="str">
        <f>IF(B17="","",IFERROR(VLOOKUP(B17,Frentes!$A$5:$B$64,2,0),""))</f>
        <v>pontos</v>
      </c>
      <c r="E17" s="17">
        <v>22</v>
      </c>
      <c r="F17" s="17">
        <v>1</v>
      </c>
      <c r="G17" s="17">
        <v>18</v>
      </c>
      <c r="H17" s="17">
        <v>1</v>
      </c>
      <c r="I17" s="19"/>
      <c r="J17" s="23">
        <f>IF(AND(ISNUMBER(E17),ISNUMBER(F17)),IF(F17&gt;0,E17/F17,""),"")</f>
        <v>22</v>
      </c>
      <c r="K17" s="23">
        <f>IF(AND(ISNUMBER(G17),ISNUMBER(H17)),IF(H17&gt;0,G17/H17,""),"")</f>
        <v>18</v>
      </c>
      <c r="L17" s="24">
        <f>IF(AND(ISNUMBER(J17),ISNUMBER(K17)),IF(J17&gt;0,K17/J17,""),"")</f>
        <v>0.8181818181818182</v>
      </c>
    </row>
    <row r="18" spans="1:12" x14ac:dyDescent="0.25">
      <c r="A18" s="18">
        <v>46300</v>
      </c>
      <c r="B18" s="16" t="s">
        <v>61</v>
      </c>
      <c r="C18" s="19" t="s">
        <v>178</v>
      </c>
      <c r="D18" s="23" t="str">
        <f>IF(B18="","",IFERROR(VLOOKUP(B18,Frentes!$A$5:$B$64,2,0),""))</f>
        <v>pontos</v>
      </c>
      <c r="E18" s="17">
        <v>22</v>
      </c>
      <c r="F18" s="17">
        <v>1</v>
      </c>
      <c r="G18" s="17">
        <v>15</v>
      </c>
      <c r="H18" s="17">
        <v>1</v>
      </c>
      <c r="I18" s="19"/>
      <c r="J18" s="23">
        <f>IF(AND(ISNUMBER(E18),ISNUMBER(F18)),IF(F18&gt;0,E18/F18,""),"")</f>
        <v>22</v>
      </c>
      <c r="K18" s="23">
        <f>IF(AND(ISNUMBER(G18),ISNUMBER(H18)),IF(H18&gt;0,G18/H18,""),"")</f>
        <v>15</v>
      </c>
      <c r="L18" s="24">
        <f>IF(AND(ISNUMBER(J18),ISNUMBER(K18)),IF(J18&gt;0,K18/J18,""),"")</f>
        <v>0.6818181818181818</v>
      </c>
    </row>
    <row r="19" spans="1:12" x14ac:dyDescent="0.25">
      <c r="A19" s="18">
        <v>46300</v>
      </c>
      <c r="B19" s="16" t="s">
        <v>61</v>
      </c>
      <c r="C19" s="19" t="s">
        <v>179</v>
      </c>
      <c r="D19" s="23" t="str">
        <f>IF(B19="","",IFERROR(VLOOKUP(B19,Frentes!$A$5:$B$64,2,0),""))</f>
        <v>pontos</v>
      </c>
      <c r="E19" s="17">
        <v>87</v>
      </c>
      <c r="F19" s="17">
        <v>6</v>
      </c>
      <c r="G19" s="17">
        <v>76</v>
      </c>
      <c r="H19" s="17">
        <v>6</v>
      </c>
      <c r="I19" s="19"/>
      <c r="J19" s="23">
        <f>IF(AND(ISNUMBER(E19),ISNUMBER(F19)),IF(F19&gt;0,E19/F19,""),"")</f>
        <v>14.5</v>
      </c>
      <c r="K19" s="23">
        <f>IF(AND(ISNUMBER(G19),ISNUMBER(H19)),IF(H19&gt;0,G19/H19,""),"")</f>
        <v>12.666666666666666</v>
      </c>
      <c r="L19" s="24">
        <f>IF(AND(ISNUMBER(J19),ISNUMBER(K19)),IF(J19&gt;0,K19/J19,""),"")</f>
        <v>0.8735632183908045</v>
      </c>
    </row>
    <row r="20" spans="1:12" x14ac:dyDescent="0.25">
      <c r="A20" s="18">
        <v>46300</v>
      </c>
      <c r="B20" s="16" t="s">
        <v>64</v>
      </c>
      <c r="C20" s="19" t="s">
        <v>180</v>
      </c>
      <c r="D20" s="23" t="str">
        <f>IF(B20="","",IFERROR(VLOOKUP(B20,Frentes!$A$5:$B$64,2,0),""))</f>
        <v>m²</v>
      </c>
      <c r="E20" s="17">
        <v>106</v>
      </c>
      <c r="F20" s="17">
        <v>4</v>
      </c>
      <c r="G20" s="17">
        <v>74</v>
      </c>
      <c r="H20" s="17">
        <v>4</v>
      </c>
      <c r="I20" s="19"/>
      <c r="J20" s="23">
        <f>IF(AND(ISNUMBER(E20),ISNUMBER(F20)),IF(F20&gt;0,E20/F20,""),"")</f>
        <v>26.5</v>
      </c>
      <c r="K20" s="23">
        <f>IF(AND(ISNUMBER(G20),ISNUMBER(H20)),IF(H20&gt;0,G20/H20,""),"")</f>
        <v>18.5</v>
      </c>
      <c r="L20" s="24">
        <f>IF(AND(ISNUMBER(J20),ISNUMBER(K20)),IF(J20&gt;0,K20/J20,""),"")</f>
        <v>0.6981132075471698</v>
      </c>
    </row>
    <row r="21" spans="1:12" x14ac:dyDescent="0.25">
      <c r="A21" s="18">
        <v>46300</v>
      </c>
      <c r="B21" s="16" t="s">
        <v>64</v>
      </c>
      <c r="C21" s="19" t="s">
        <v>181</v>
      </c>
      <c r="D21" s="23" t="str">
        <f>IF(B21="","",IFERROR(VLOOKUP(B21,Frentes!$A$5:$B$64,2,0),""))</f>
        <v>m²</v>
      </c>
      <c r="E21" s="17">
        <v>49</v>
      </c>
      <c r="F21" s="17">
        <v>2</v>
      </c>
      <c r="G21" s="17">
        <v>45</v>
      </c>
      <c r="H21" s="17">
        <v>2</v>
      </c>
      <c r="I21" s="19"/>
      <c r="J21" s="23">
        <f>IF(AND(ISNUMBER(E21),ISNUMBER(F21)),IF(F21&gt;0,E21/F21,""),"")</f>
        <v>24.5</v>
      </c>
      <c r="K21" s="23">
        <f>IF(AND(ISNUMBER(G21),ISNUMBER(H21)),IF(H21&gt;0,G21/H21,""),"")</f>
        <v>22.5</v>
      </c>
      <c r="L21" s="24">
        <f>IF(AND(ISNUMBER(J21),ISNUMBER(K21)),IF(J21&gt;0,K21/J21,""),"")</f>
        <v>0.9183673469387755</v>
      </c>
    </row>
    <row r="22" spans="1:12" x14ac:dyDescent="0.25">
      <c r="A22" s="18">
        <v>46300</v>
      </c>
      <c r="B22" s="16" t="s">
        <v>64</v>
      </c>
      <c r="C22" s="19" t="s">
        <v>182</v>
      </c>
      <c r="D22" s="23" t="str">
        <f>IF(B22="","",IFERROR(VLOOKUP(B22,Frentes!$A$5:$B$64,2,0),""))</f>
        <v>m²</v>
      </c>
      <c r="E22" s="17">
        <v>45</v>
      </c>
      <c r="F22" s="17">
        <v>2</v>
      </c>
      <c r="G22" s="17">
        <v>32</v>
      </c>
      <c r="H22" s="17">
        <v>1</v>
      </c>
      <c r="I22" s="19"/>
      <c r="J22" s="23">
        <f>IF(AND(ISNUMBER(E22),ISNUMBER(F22)),IF(F22&gt;0,E22/F22,""),"")</f>
        <v>22.5</v>
      </c>
      <c r="K22" s="23">
        <f>IF(AND(ISNUMBER(G22),ISNUMBER(H22)),IF(H22&gt;0,G22/H22,""),"")</f>
        <v>32</v>
      </c>
      <c r="L22" s="24">
        <f>IF(AND(ISNUMBER(J22),ISNUMBER(K22)),IF(J22&gt;0,K22/J22,""),"")</f>
        <v>1.4222222222222223</v>
      </c>
    </row>
    <row r="23" spans="1:12" x14ac:dyDescent="0.25">
      <c r="A23" s="18">
        <v>46300</v>
      </c>
      <c r="B23" s="16" t="s">
        <v>64</v>
      </c>
      <c r="C23" s="19" t="s">
        <v>183</v>
      </c>
      <c r="D23" s="23" t="str">
        <f>IF(B23="","",IFERROR(VLOOKUP(B23,Frentes!$A$5:$B$64,2,0),""))</f>
        <v>m²</v>
      </c>
      <c r="E23" s="17">
        <v>37</v>
      </c>
      <c r="F23" s="17">
        <v>1</v>
      </c>
      <c r="G23" s="17">
        <v>34</v>
      </c>
      <c r="H23" s="17">
        <v>1</v>
      </c>
      <c r="I23" s="19"/>
      <c r="J23" s="23">
        <f>IF(AND(ISNUMBER(E23),ISNUMBER(F23)),IF(F23&gt;0,E23/F23,""),"")</f>
        <v>37</v>
      </c>
      <c r="K23" s="23">
        <f>IF(AND(ISNUMBER(G23),ISNUMBER(H23)),IF(H23&gt;0,G23/H23,""),"")</f>
        <v>34</v>
      </c>
      <c r="L23" s="24">
        <f>IF(AND(ISNUMBER(J23),ISNUMBER(K23)),IF(J23&gt;0,K23/J23,""),"")</f>
        <v>0.918918918918919</v>
      </c>
    </row>
    <row r="24" spans="1:12" x14ac:dyDescent="0.25">
      <c r="A24" s="18">
        <v>46300</v>
      </c>
      <c r="B24" s="16" t="s">
        <v>64</v>
      </c>
      <c r="C24" s="19" t="s">
        <v>184</v>
      </c>
      <c r="D24" s="23" t="str">
        <f>IF(B24="","",IFERROR(VLOOKUP(B24,Frentes!$A$5:$B$64,2,0),""))</f>
        <v>m²</v>
      </c>
      <c r="E24" s="17">
        <v>213</v>
      </c>
      <c r="F24" s="17">
        <v>7</v>
      </c>
      <c r="G24" s="17">
        <v>195</v>
      </c>
      <c r="H24" s="17">
        <v>7</v>
      </c>
      <c r="I24" s="19"/>
      <c r="J24" s="23">
        <f>IF(AND(ISNUMBER(E24),ISNUMBER(F24)),IF(F24&gt;0,E24/F24,""),"")</f>
        <v>30.428571428571427</v>
      </c>
      <c r="K24" s="23">
        <f>IF(AND(ISNUMBER(G24),ISNUMBER(H24)),IF(H24&gt;0,G24/H24,""),"")</f>
        <v>27.857142857142858</v>
      </c>
      <c r="L24" s="24">
        <f>IF(AND(ISNUMBER(J24),ISNUMBER(K24)),IF(J24&gt;0,K24/J24,""),"")</f>
        <v>0.915492957746479</v>
      </c>
    </row>
    <row r="25" spans="1:12" x14ac:dyDescent="0.25">
      <c r="A25" s="18">
        <v>46300</v>
      </c>
      <c r="B25" s="16" t="s">
        <v>66</v>
      </c>
      <c r="C25" s="19" t="s">
        <v>185</v>
      </c>
      <c r="D25" s="23" t="str">
        <f>IF(B25="","",IFERROR(VLOOKUP(B25,Frentes!$A$5:$B$64,2,0),""))</f>
        <v>m²</v>
      </c>
      <c r="E25" s="17">
        <v>250</v>
      </c>
      <c r="F25" s="17">
        <v>8</v>
      </c>
      <c r="G25" s="17">
        <v>250</v>
      </c>
      <c r="H25" s="17">
        <v>8</v>
      </c>
      <c r="I25" s="19"/>
      <c r="J25" s="23">
        <f>IF(AND(ISNUMBER(E25),ISNUMBER(F25)),IF(F25&gt;0,E25/F25,""),"")</f>
        <v>31.25</v>
      </c>
      <c r="K25" s="23">
        <f>IF(AND(ISNUMBER(G25),ISNUMBER(H25)),IF(H25&gt;0,G25/H25,""),"")</f>
        <v>31.25</v>
      </c>
      <c r="L25" s="24">
        <f>IF(AND(ISNUMBER(J25),ISNUMBER(K25)),IF(J25&gt;0,K25/J25,""),"")</f>
        <v>1</v>
      </c>
    </row>
    <row r="26" spans="1:12" x14ac:dyDescent="0.25">
      <c r="A26" s="18">
        <v>46300</v>
      </c>
      <c r="B26" s="16" t="s">
        <v>68</v>
      </c>
      <c r="C26" s="19" t="s">
        <v>186</v>
      </c>
      <c r="D26" s="23" t="str">
        <f>IF(B26="","",IFERROR(VLOOKUP(B26,Frentes!$A$5:$B$64,2,0),""))</f>
        <v>pav.</v>
      </c>
      <c r="E26" s="17">
        <v>2</v>
      </c>
      <c r="F26" s="17">
        <v>4</v>
      </c>
      <c r="G26" s="17">
        <v>2</v>
      </c>
      <c r="H26" s="17">
        <v>4</v>
      </c>
      <c r="I26" s="19"/>
      <c r="J26" s="23">
        <f>IF(AND(ISNUMBER(E26),ISNUMBER(F26)),IF(F26&gt;0,E26/F26,""),"")</f>
        <v>0.5</v>
      </c>
      <c r="K26" s="23">
        <f>IF(AND(ISNUMBER(G26),ISNUMBER(H26)),IF(H26&gt;0,G26/H26,""),"")</f>
        <v>0.5</v>
      </c>
      <c r="L26" s="24">
        <f>IF(AND(ISNUMBER(J26),ISNUMBER(K26)),IF(J26&gt;0,K26/J26,""),"")</f>
        <v>1</v>
      </c>
    </row>
    <row r="27" spans="1:12" x14ac:dyDescent="0.25">
      <c r="A27" s="18">
        <v>46300</v>
      </c>
      <c r="B27" s="16" t="s">
        <v>68</v>
      </c>
      <c r="C27" s="19" t="s">
        <v>187</v>
      </c>
      <c r="D27" s="23" t="str">
        <f>IF(B27="","",IFERROR(VLOOKUP(B27,Frentes!$A$5:$B$64,2,0),""))</f>
        <v>pav.</v>
      </c>
      <c r="E27" s="17">
        <v>1</v>
      </c>
      <c r="F27" s="17">
        <v>1</v>
      </c>
      <c r="G27" s="17">
        <v>1</v>
      </c>
      <c r="H27" s="17">
        <v>1</v>
      </c>
      <c r="I27" s="19"/>
      <c r="J27" s="23">
        <f>IF(AND(ISNUMBER(E27),ISNUMBER(F27)),IF(F27&gt;0,E27/F27,""),"")</f>
        <v>1</v>
      </c>
      <c r="K27" s="23">
        <f>IF(AND(ISNUMBER(G27),ISNUMBER(H27)),IF(H27&gt;0,G27/H27,""),"")</f>
        <v>1</v>
      </c>
      <c r="L27" s="24">
        <f>IF(AND(ISNUMBER(J27),ISNUMBER(K27)),IF(J27&gt;0,K27/J27,""),"")</f>
        <v>1</v>
      </c>
    </row>
    <row r="28" spans="1:12" x14ac:dyDescent="0.25">
      <c r="A28" s="18">
        <v>46300</v>
      </c>
      <c r="B28" s="16" t="s">
        <v>68</v>
      </c>
      <c r="C28" s="19" t="s">
        <v>188</v>
      </c>
      <c r="D28" s="23" t="str">
        <f>IF(B28="","",IFERROR(VLOOKUP(B28,Frentes!$A$5:$B$64,2,0),""))</f>
        <v>pav.</v>
      </c>
      <c r="E28" s="17">
        <v>1</v>
      </c>
      <c r="F28" s="17">
        <v>1</v>
      </c>
      <c r="G28" s="17">
        <v>1</v>
      </c>
      <c r="H28" s="17">
        <v>1</v>
      </c>
      <c r="I28" s="19"/>
      <c r="J28" s="23">
        <f>IF(AND(ISNUMBER(E28),ISNUMBER(F28)),IF(F28&gt;0,E28/F28,""),"")</f>
        <v>1</v>
      </c>
      <c r="K28" s="23">
        <f>IF(AND(ISNUMBER(G28),ISNUMBER(H28)),IF(H28&gt;0,G28/H28,""),"")</f>
        <v>1</v>
      </c>
      <c r="L28" s="24">
        <f>IF(AND(ISNUMBER(J28),ISNUMBER(K28)),IF(J28&gt;0,K28/J28,""),"")</f>
        <v>1</v>
      </c>
    </row>
    <row r="29" spans="1:12" x14ac:dyDescent="0.25">
      <c r="A29" s="18">
        <v>46300</v>
      </c>
      <c r="B29" s="16" t="s">
        <v>68</v>
      </c>
      <c r="C29" s="19" t="s">
        <v>189</v>
      </c>
      <c r="D29" s="23" t="str">
        <f>IF(B29="","",IFERROR(VLOOKUP(B29,Frentes!$A$5:$B$64,2,0),""))</f>
        <v>pav.</v>
      </c>
      <c r="E29" s="17">
        <v>0</v>
      </c>
      <c r="F29" s="17">
        <v>1</v>
      </c>
      <c r="G29" s="17">
        <v>0</v>
      </c>
      <c r="H29" s="17">
        <v>1</v>
      </c>
      <c r="I29" s="19"/>
      <c r="J29" s="23">
        <f>IF(AND(ISNUMBER(E29),ISNUMBER(F29)),IF(F29&gt;0,E29/F29,""),"")</f>
        <v>0</v>
      </c>
      <c r="K29" s="23">
        <f>IF(AND(ISNUMBER(G29),ISNUMBER(H29)),IF(H29&gt;0,G29/H29,""),"")</f>
        <v>0</v>
      </c>
      <c r="L29" s="24" t="str">
        <f>IF(AND(ISNUMBER(J29),ISNUMBER(K29)),IF(J29&gt;0,K29/J29,""),"")</f>
        <v/>
      </c>
    </row>
    <row r="30" spans="1:12" x14ac:dyDescent="0.25">
      <c r="A30" s="18">
        <v>46300</v>
      </c>
      <c r="B30" s="16" t="s">
        <v>68</v>
      </c>
      <c r="C30" s="19" t="s">
        <v>190</v>
      </c>
      <c r="D30" s="23" t="str">
        <f>IF(B30="","",IFERROR(VLOOKUP(B30,Frentes!$A$5:$B$64,2,0),""))</f>
        <v>pav.</v>
      </c>
      <c r="E30" s="17">
        <v>2</v>
      </c>
      <c r="F30" s="17">
        <v>3</v>
      </c>
      <c r="G30" s="17">
        <v>1</v>
      </c>
      <c r="H30" s="17">
        <v>3</v>
      </c>
      <c r="I30" s="19"/>
      <c r="J30" s="23">
        <f>IF(AND(ISNUMBER(E30),ISNUMBER(F30)),IF(F30&gt;0,E30/F30,""),"")</f>
        <v>0.6666666666666666</v>
      </c>
      <c r="K30" s="23">
        <f>IF(AND(ISNUMBER(G30),ISNUMBER(H30)),IF(H30&gt;0,G30/H30,""),"")</f>
        <v>0.3333333333333333</v>
      </c>
      <c r="L30" s="24">
        <f>IF(AND(ISNUMBER(J30),ISNUMBER(K30)),IF(J30&gt;0,K30/J30,""),"")</f>
        <v>0.5</v>
      </c>
    </row>
    <row r="31" spans="1:12" x14ac:dyDescent="0.25">
      <c r="A31" s="18">
        <v>46300</v>
      </c>
      <c r="B31" s="16" t="s">
        <v>71</v>
      </c>
      <c r="C31" s="19" t="s">
        <v>191</v>
      </c>
      <c r="D31" s="23" t="str">
        <f>IF(B31="","",IFERROR(VLOOKUP(B31,Frentes!$A$5:$B$64,2,0),""))</f>
        <v>m²</v>
      </c>
      <c r="E31" s="17">
        <v>50</v>
      </c>
      <c r="F31" s="17">
        <v>2</v>
      </c>
      <c r="G31" s="17">
        <v>46</v>
      </c>
      <c r="H31" s="17">
        <v>2</v>
      </c>
      <c r="I31" s="19"/>
      <c r="J31" s="23">
        <f>IF(AND(ISNUMBER(E31),ISNUMBER(F31)),IF(F31&gt;0,E31/F31,""),"")</f>
        <v>25</v>
      </c>
      <c r="K31" s="23">
        <f>IF(AND(ISNUMBER(G31),ISNUMBER(H31)),IF(H31&gt;0,G31/H31,""),"")</f>
        <v>23</v>
      </c>
      <c r="L31" s="24">
        <f>IF(AND(ISNUMBER(J31),ISNUMBER(K31)),IF(J31&gt;0,K31/J31,""),"")</f>
        <v>0.92</v>
      </c>
    </row>
    <row r="32" spans="1:12" x14ac:dyDescent="0.25">
      <c r="A32" s="18">
        <v>46300</v>
      </c>
      <c r="B32" s="16" t="s">
        <v>71</v>
      </c>
      <c r="C32" s="19" t="s">
        <v>192</v>
      </c>
      <c r="D32" s="23" t="str">
        <f>IF(B32="","",IFERROR(VLOOKUP(B32,Frentes!$A$5:$B$64,2,0),""))</f>
        <v>m²</v>
      </c>
      <c r="E32" s="17">
        <v>50</v>
      </c>
      <c r="F32" s="17">
        <v>1</v>
      </c>
      <c r="G32" s="17">
        <v>45</v>
      </c>
      <c r="H32" s="17">
        <v>1</v>
      </c>
      <c r="I32" s="19"/>
      <c r="J32" s="23">
        <f>IF(AND(ISNUMBER(E32),ISNUMBER(F32)),IF(F32&gt;0,E32/F32,""),"")</f>
        <v>50</v>
      </c>
      <c r="K32" s="23">
        <f>IF(AND(ISNUMBER(G32),ISNUMBER(H32)),IF(H32&gt;0,G32/H32,""),"")</f>
        <v>45</v>
      </c>
      <c r="L32" s="24">
        <f>IF(AND(ISNUMBER(J32),ISNUMBER(K32)),IF(J32&gt;0,K32/J32,""),"")</f>
        <v>0.9</v>
      </c>
    </row>
    <row r="33" spans="1:12" x14ac:dyDescent="0.25">
      <c r="A33" s="18">
        <v>46300</v>
      </c>
      <c r="B33" s="16" t="s">
        <v>71</v>
      </c>
      <c r="C33" s="19" t="s">
        <v>193</v>
      </c>
      <c r="D33" s="23" t="str">
        <f>IF(B33="","",IFERROR(VLOOKUP(B33,Frentes!$A$5:$B$64,2,0),""))</f>
        <v>m²</v>
      </c>
      <c r="E33" s="17">
        <v>50</v>
      </c>
      <c r="F33" s="17">
        <v>1</v>
      </c>
      <c r="G33" s="17">
        <v>54</v>
      </c>
      <c r="H33" s="17">
        <v>1</v>
      </c>
      <c r="I33" s="19"/>
      <c r="J33" s="23">
        <f>IF(AND(ISNUMBER(E33),ISNUMBER(F33)),IF(F33&gt;0,E33/F33,""),"")</f>
        <v>50</v>
      </c>
      <c r="K33" s="23">
        <f>IF(AND(ISNUMBER(G33),ISNUMBER(H33)),IF(H33&gt;0,G33/H33,""),"")</f>
        <v>54</v>
      </c>
      <c r="L33" s="24">
        <f>IF(AND(ISNUMBER(J33),ISNUMBER(K33)),IF(J33&gt;0,K33/J33,""),"")</f>
        <v>1.08</v>
      </c>
    </row>
    <row r="34" spans="1:12" x14ac:dyDescent="0.25">
      <c r="A34" s="18">
        <v>46300</v>
      </c>
      <c r="B34" s="16" t="s">
        <v>71</v>
      </c>
      <c r="C34" s="19" t="s">
        <v>194</v>
      </c>
      <c r="D34" s="23" t="str">
        <f>IF(B34="","",IFERROR(VLOOKUP(B34,Frentes!$A$5:$B$64,2,0),""))</f>
        <v>m²</v>
      </c>
      <c r="E34" s="17">
        <v>50</v>
      </c>
      <c r="F34" s="17">
        <v>1</v>
      </c>
      <c r="G34" s="17">
        <v>52</v>
      </c>
      <c r="H34" s="17">
        <v>1</v>
      </c>
      <c r="I34" s="19"/>
      <c r="J34" s="23">
        <f>IF(AND(ISNUMBER(E34),ISNUMBER(F34)),IF(F34&gt;0,E34/F34,""),"")</f>
        <v>50</v>
      </c>
      <c r="K34" s="23">
        <f>IF(AND(ISNUMBER(G34),ISNUMBER(H34)),IF(H34&gt;0,G34/H34,""),"")</f>
        <v>52</v>
      </c>
      <c r="L34" s="24">
        <f>IF(AND(ISNUMBER(J34),ISNUMBER(K34)),IF(J34&gt;0,K34/J34,""),"")</f>
        <v>1.04</v>
      </c>
    </row>
    <row r="35" spans="1:12" x14ac:dyDescent="0.25">
      <c r="A35" s="18">
        <v>46300</v>
      </c>
      <c r="B35" s="16" t="s">
        <v>71</v>
      </c>
      <c r="C35" s="19" t="s">
        <v>169</v>
      </c>
      <c r="D35" s="23" t="str">
        <f>IF(B35="","",IFERROR(VLOOKUP(B35,Frentes!$A$5:$B$64,2,0),""))</f>
        <v>m²</v>
      </c>
      <c r="E35" s="17">
        <v>100</v>
      </c>
      <c r="F35" s="17">
        <v>3</v>
      </c>
      <c r="G35" s="17">
        <v>88</v>
      </c>
      <c r="H35" s="17">
        <v>3</v>
      </c>
      <c r="I35" s="19"/>
      <c r="J35" s="23">
        <f>IF(AND(ISNUMBER(E35),ISNUMBER(F35)),IF(F35&gt;0,E35/F35,""),"")</f>
        <v>33.333333333333336</v>
      </c>
      <c r="K35" s="23">
        <f>IF(AND(ISNUMBER(G35),ISNUMBER(H35)),IF(H35&gt;0,G35/H35,""),"")</f>
        <v>29.333333333333332</v>
      </c>
      <c r="L35" s="24">
        <f>IF(AND(ISNUMBER(J35),ISNUMBER(K35)),IF(J35&gt;0,K35/J35,""),"")</f>
        <v>0.8799999999999999</v>
      </c>
    </row>
    <row r="36" spans="1:12" x14ac:dyDescent="0.25">
      <c r="A36" s="18">
        <v>46300</v>
      </c>
      <c r="B36" s="16" t="s">
        <v>72</v>
      </c>
      <c r="C36" s="19" t="s">
        <v>195</v>
      </c>
      <c r="D36" s="23" t="str">
        <f>IF(B36="","",IFERROR(VLOOKUP(B36,Frentes!$A$5:$B$64,2,0),""))</f>
        <v>m²</v>
      </c>
      <c r="E36" s="17">
        <v>164</v>
      </c>
      <c r="F36" s="17">
        <v>3</v>
      </c>
      <c r="G36" s="17">
        <v>172</v>
      </c>
      <c r="H36" s="17">
        <v>3</v>
      </c>
      <c r="I36" s="19"/>
      <c r="J36" s="23">
        <f>IF(AND(ISNUMBER(E36),ISNUMBER(F36)),IF(F36&gt;0,E36/F36,""),"")</f>
        <v>54.666666666666664</v>
      </c>
      <c r="K36" s="23">
        <f>IF(AND(ISNUMBER(G36),ISNUMBER(H36)),IF(H36&gt;0,G36/H36,""),"")</f>
        <v>57.333333333333336</v>
      </c>
      <c r="L36" s="24">
        <f>IF(AND(ISNUMBER(J36),ISNUMBER(K36)),IF(J36&gt;0,K36/J36,""),"")</f>
        <v>1.048780487804878</v>
      </c>
    </row>
    <row r="37" spans="1:12" x14ac:dyDescent="0.25">
      <c r="A37" s="18">
        <v>46300</v>
      </c>
      <c r="B37" s="16" t="s">
        <v>72</v>
      </c>
      <c r="C37" s="19" t="s">
        <v>196</v>
      </c>
      <c r="D37" s="23" t="str">
        <f>IF(B37="","",IFERROR(VLOOKUP(B37,Frentes!$A$5:$B$64,2,0),""))</f>
        <v>m²</v>
      </c>
      <c r="E37" s="17">
        <v>164</v>
      </c>
      <c r="F37" s="17">
        <v>3</v>
      </c>
      <c r="G37" s="17">
        <v>192</v>
      </c>
      <c r="H37" s="17">
        <v>3</v>
      </c>
      <c r="I37" s="19"/>
      <c r="J37" s="23">
        <f>IF(AND(ISNUMBER(E37),ISNUMBER(F37)),IF(F37&gt;0,E37/F37,""),"")</f>
        <v>54.666666666666664</v>
      </c>
      <c r="K37" s="23">
        <f>IF(AND(ISNUMBER(G37),ISNUMBER(H37)),IF(H37&gt;0,G37/H37,""),"")</f>
        <v>64</v>
      </c>
      <c r="L37" s="24">
        <f>IF(AND(ISNUMBER(J37),ISNUMBER(K37)),IF(J37&gt;0,K37/J37,""),"")</f>
        <v>1.1707317073170733</v>
      </c>
    </row>
    <row r="38" spans="1:12" x14ac:dyDescent="0.25">
      <c r="A38" s="18">
        <v>46300</v>
      </c>
      <c r="B38" s="16" t="s">
        <v>72</v>
      </c>
      <c r="C38" s="19" t="s">
        <v>197</v>
      </c>
      <c r="D38" s="23" t="str">
        <f>IF(B38="","",IFERROR(VLOOKUP(B38,Frentes!$A$5:$B$64,2,0),""))</f>
        <v>m²</v>
      </c>
      <c r="E38" s="17">
        <v>164</v>
      </c>
      <c r="F38" s="17">
        <v>3</v>
      </c>
      <c r="G38" s="17">
        <v>146</v>
      </c>
      <c r="H38" s="17">
        <v>3</v>
      </c>
      <c r="I38" s="19"/>
      <c r="J38" s="23">
        <f>IF(AND(ISNUMBER(E38),ISNUMBER(F38)),IF(F38&gt;0,E38/F38,""),"")</f>
        <v>54.666666666666664</v>
      </c>
      <c r="K38" s="23">
        <f>IF(AND(ISNUMBER(G38),ISNUMBER(H38)),IF(H38&gt;0,G38/H38,""),"")</f>
        <v>48.666666666666664</v>
      </c>
      <c r="L38" s="24">
        <f>IF(AND(ISNUMBER(J38),ISNUMBER(K38)),IF(J38&gt;0,K38/J38,""),"")</f>
        <v>0.8902439024390244</v>
      </c>
    </row>
    <row r="39" spans="1:12" x14ac:dyDescent="0.25">
      <c r="A39" s="18">
        <v>46300</v>
      </c>
      <c r="B39" s="16" t="s">
        <v>72</v>
      </c>
      <c r="C39" s="19" t="s">
        <v>198</v>
      </c>
      <c r="D39" s="23" t="str">
        <f>IF(B39="","",IFERROR(VLOOKUP(B39,Frentes!$A$5:$B$64,2,0),""))</f>
        <v>m²</v>
      </c>
      <c r="E39" s="17">
        <v>28</v>
      </c>
      <c r="F39" s="17">
        <v>1</v>
      </c>
      <c r="G39" s="17">
        <v>30</v>
      </c>
      <c r="H39" s="17">
        <v>1</v>
      </c>
      <c r="I39" s="19"/>
      <c r="J39" s="23">
        <f>IF(AND(ISNUMBER(E39),ISNUMBER(F39)),IF(F39&gt;0,E39/F39,""),"")</f>
        <v>28</v>
      </c>
      <c r="K39" s="23">
        <f>IF(AND(ISNUMBER(G39),ISNUMBER(H39)),IF(H39&gt;0,G39/H39,""),"")</f>
        <v>30</v>
      </c>
      <c r="L39" s="24">
        <f>IF(AND(ISNUMBER(J39),ISNUMBER(K39)),IF(J39&gt;0,K39/J39,""),"")</f>
        <v>1.0714285714285714</v>
      </c>
    </row>
    <row r="40" spans="1:12" x14ac:dyDescent="0.25">
      <c r="A40" s="18">
        <v>46300</v>
      </c>
      <c r="B40" s="16" t="s">
        <v>74</v>
      </c>
      <c r="C40" s="19" t="s">
        <v>199</v>
      </c>
      <c r="D40" s="23" t="str">
        <f>IF(B40="","",IFERROR(VLOOKUP(B40,Frentes!$A$5:$B$64,2,0),""))</f>
        <v>m²</v>
      </c>
      <c r="E40" s="17">
        <v>200</v>
      </c>
      <c r="F40" s="17">
        <v>10</v>
      </c>
      <c r="G40" s="17">
        <v>140</v>
      </c>
      <c r="H40" s="17">
        <v>10</v>
      </c>
      <c r="I40" s="19"/>
      <c r="J40" s="23">
        <f>IF(AND(ISNUMBER(E40),ISNUMBER(F40)),IF(F40&gt;0,E40/F40,""),"")</f>
        <v>20</v>
      </c>
      <c r="K40" s="23">
        <f>IF(AND(ISNUMBER(G40),ISNUMBER(H40)),IF(H40&gt;0,G40/H40,""),"")</f>
        <v>14</v>
      </c>
      <c r="L40" s="24">
        <f>IF(AND(ISNUMBER(J40),ISNUMBER(K40)),IF(J40&gt;0,K40/J40,""),"")</f>
        <v>0.7</v>
      </c>
    </row>
    <row r="41" spans="1:12" x14ac:dyDescent="0.25">
      <c r="A41" s="18">
        <v>46300</v>
      </c>
      <c r="B41" s="16" t="s">
        <v>79</v>
      </c>
      <c r="C41" s="19" t="s">
        <v>200</v>
      </c>
      <c r="D41" s="23" t="str">
        <f>IF(B41="","",IFERROR(VLOOKUP(B41,Frentes!$A$5:$B$64,2,0),""))</f>
        <v>pontos</v>
      </c>
      <c r="E41" s="17">
        <v>51</v>
      </c>
      <c r="F41" s="17">
        <v>3</v>
      </c>
      <c r="G41" s="17">
        <v>34</v>
      </c>
      <c r="H41" s="17">
        <v>3</v>
      </c>
      <c r="I41" s="19"/>
      <c r="J41" s="23">
        <f>IF(AND(ISNUMBER(E41),ISNUMBER(F41)),IF(F41&gt;0,E41/F41,""),"")</f>
        <v>17</v>
      </c>
      <c r="K41" s="23">
        <f>IF(AND(ISNUMBER(G41),ISNUMBER(H41)),IF(H41&gt;0,G41/H41,""),"")</f>
        <v>11.333333333333334</v>
      </c>
      <c r="L41" s="24">
        <f>IF(AND(ISNUMBER(J41),ISNUMBER(K41)),IF(J41&gt;0,K41/J41,""),"")</f>
        <v>0.6666666666666667</v>
      </c>
    </row>
    <row r="42" spans="1:12" x14ac:dyDescent="0.25">
      <c r="A42" s="18">
        <v>46300</v>
      </c>
      <c r="B42" s="16" t="s">
        <v>79</v>
      </c>
      <c r="C42" s="19" t="s">
        <v>201</v>
      </c>
      <c r="D42" s="23" t="str">
        <f>IF(B42="","",IFERROR(VLOOKUP(B42,Frentes!$A$5:$B$64,2,0),""))</f>
        <v>pontos</v>
      </c>
      <c r="E42" s="17">
        <v>51</v>
      </c>
      <c r="F42" s="17">
        <v>3</v>
      </c>
      <c r="G42" s="17">
        <v>43</v>
      </c>
      <c r="H42" s="17">
        <v>3</v>
      </c>
      <c r="I42" s="19"/>
      <c r="J42" s="23">
        <f>IF(AND(ISNUMBER(E42),ISNUMBER(F42)),IF(F42&gt;0,E42/F42,""),"")</f>
        <v>17</v>
      </c>
      <c r="K42" s="23">
        <f>IF(AND(ISNUMBER(G42),ISNUMBER(H42)),IF(H42&gt;0,G42/H42,""),"")</f>
        <v>14.333333333333334</v>
      </c>
      <c r="L42" s="24">
        <f>IF(AND(ISNUMBER(J42),ISNUMBER(K42)),IF(J42&gt;0,K42/J42,""),"")</f>
        <v>0.8431372549019608</v>
      </c>
    </row>
    <row r="43" spans="1:12" x14ac:dyDescent="0.25">
      <c r="A43" s="18">
        <v>46300</v>
      </c>
      <c r="B43" s="16" t="s">
        <v>79</v>
      </c>
      <c r="C43" s="19" t="s">
        <v>202</v>
      </c>
      <c r="D43" s="23" t="str">
        <f>IF(B43="","",IFERROR(VLOOKUP(B43,Frentes!$A$5:$B$64,2,0),""))</f>
        <v>pontos</v>
      </c>
      <c r="E43" s="17">
        <v>9</v>
      </c>
      <c r="F43" s="17">
        <v>1</v>
      </c>
      <c r="G43" s="17">
        <v>7</v>
      </c>
      <c r="H43" s="17">
        <v>1</v>
      </c>
      <c r="I43" s="19"/>
      <c r="J43" s="23">
        <f>IF(AND(ISNUMBER(E43),ISNUMBER(F43)),IF(F43&gt;0,E43/F43,""),"")</f>
        <v>9</v>
      </c>
      <c r="K43" s="23">
        <f>IF(AND(ISNUMBER(G43),ISNUMBER(H43)),IF(H43&gt;0,G43/H43,""),"")</f>
        <v>7</v>
      </c>
      <c r="L43" s="24">
        <f>IF(AND(ISNUMBER(J43),ISNUMBER(K43)),IF(J43&gt;0,K43/J43,""),"")</f>
        <v>0.7777777777777778</v>
      </c>
    </row>
    <row r="44" spans="1:12" x14ac:dyDescent="0.25">
      <c r="A44" s="18">
        <v>46300</v>
      </c>
      <c r="B44" s="16" t="s">
        <v>79</v>
      </c>
      <c r="C44" s="19" t="s">
        <v>203</v>
      </c>
      <c r="D44" s="23" t="str">
        <f>IF(B44="","",IFERROR(VLOOKUP(B44,Frentes!$A$5:$B$64,2,0),""))</f>
        <v>pontos</v>
      </c>
      <c r="E44" s="17">
        <v>9</v>
      </c>
      <c r="F44" s="17">
        <v>1</v>
      </c>
      <c r="G44" s="17">
        <v>6</v>
      </c>
      <c r="H44" s="17">
        <v>1</v>
      </c>
      <c r="I44" s="19"/>
      <c r="J44" s="23">
        <f>IF(AND(ISNUMBER(E44),ISNUMBER(F44)),IF(F44&gt;0,E44/F44,""),"")</f>
        <v>9</v>
      </c>
      <c r="K44" s="23">
        <f>IF(AND(ISNUMBER(G44),ISNUMBER(H44)),IF(H44&gt;0,G44/H44,""),"")</f>
        <v>6</v>
      </c>
      <c r="L44" s="24">
        <f>IF(AND(ISNUMBER(J44),ISNUMBER(K44)),IF(J44&gt;0,K44/J44,""),"")</f>
        <v>0.6666666666666666</v>
      </c>
    </row>
    <row r="45" spans="1:12" x14ac:dyDescent="0.25">
      <c r="A45" s="18">
        <v>46307</v>
      </c>
      <c r="B45" s="16" t="s">
        <v>55</v>
      </c>
      <c r="C45" s="19"/>
      <c r="D45" s="23" t="str">
        <f>IF(B45="","",IFERROR(VLOOKUP(B45,Frentes!$A$5:$B$64,2,0),""))</f>
        <v>m²</v>
      </c>
      <c r="E45" s="17">
        <v>620</v>
      </c>
      <c r="F45" s="17">
        <v>15</v>
      </c>
      <c r="G45" s="17"/>
      <c r="H45" s="17"/>
      <c r="I45" s="19" t="s">
        <v>204</v>
      </c>
      <c r="J45" s="23">
        <f>IF(AND(ISNUMBER(E45),ISNUMBER(F45)),IF(F45&gt;0,E45/F45,""),"")</f>
        <v>41.333333333333336</v>
      </c>
      <c r="K45" s="23" t="str">
        <f>IF(AND(ISNUMBER(G45),ISNUMBER(H45)),IF(H45&gt;0,G45/H45,""),"")</f>
        <v/>
      </c>
      <c r="L45" s="24" t="str">
        <f>IF(AND(ISNUMBER(J45),ISNUMBER(K45)),IF(J45&gt;0,K45/J45,""),"")</f>
        <v/>
      </c>
    </row>
    <row r="46" spans="1:12" x14ac:dyDescent="0.25">
      <c r="A46" s="18">
        <v>46307</v>
      </c>
      <c r="B46" s="16" t="s">
        <v>58</v>
      </c>
      <c r="C46" s="19"/>
      <c r="D46" s="23" t="str">
        <f>IF(B46="","",IFERROR(VLOOKUP(B46,Frentes!$A$5:$B$64,2,0),""))</f>
        <v>lance</v>
      </c>
      <c r="E46" s="17">
        <v>4</v>
      </c>
      <c r="F46" s="17">
        <v>6</v>
      </c>
      <c r="G46" s="17"/>
      <c r="H46" s="17"/>
      <c r="I46" s="19" t="s">
        <v>205</v>
      </c>
      <c r="J46" s="23">
        <f>IF(AND(ISNUMBER(E46),ISNUMBER(F46)),IF(F46&gt;0,E46/F46,""),"")</f>
        <v>0.6666666666666666</v>
      </c>
      <c r="K46" s="23" t="str">
        <f>IF(AND(ISNUMBER(G46),ISNUMBER(H46)),IF(H46&gt;0,G46/H46,""),"")</f>
        <v/>
      </c>
      <c r="L46" s="24" t="str">
        <f>IF(AND(ISNUMBER(J46),ISNUMBER(K46)),IF(J46&gt;0,K46/J46,""),"")</f>
        <v/>
      </c>
    </row>
    <row r="47" spans="1:12" x14ac:dyDescent="0.25">
      <c r="A47" s="18">
        <v>46307</v>
      </c>
      <c r="B47" s="16" t="s">
        <v>61</v>
      </c>
      <c r="C47" s="19"/>
      <c r="D47" s="23" t="str">
        <f>IF(B47="","",IFERROR(VLOOKUP(B47,Frentes!$A$5:$B$64,2,0),""))</f>
        <v>pontos</v>
      </c>
      <c r="E47" s="17">
        <v>170</v>
      </c>
      <c r="F47" s="17">
        <v>12</v>
      </c>
      <c r="G47" s="17"/>
      <c r="H47" s="17"/>
      <c r="I47" s="19" t="s">
        <v>206</v>
      </c>
      <c r="J47" s="23">
        <f>IF(AND(ISNUMBER(E47),ISNUMBER(F47)),IF(F47&gt;0,E47/F47,""),"")</f>
        <v>14.166666666666666</v>
      </c>
      <c r="K47" s="23" t="str">
        <f>IF(AND(ISNUMBER(G47),ISNUMBER(H47)),IF(H47&gt;0,G47/H47,""),"")</f>
        <v/>
      </c>
      <c r="L47" s="24" t="str">
        <f>IF(AND(ISNUMBER(J47),ISNUMBER(K47)),IF(J47&gt;0,K47/J47,""),"")</f>
        <v/>
      </c>
    </row>
    <row r="48" spans="1:12" x14ac:dyDescent="0.25">
      <c r="A48" s="18">
        <v>46307</v>
      </c>
      <c r="B48" s="16" t="s">
        <v>64</v>
      </c>
      <c r="C48" s="19"/>
      <c r="D48" s="23" t="str">
        <f>IF(B48="","",IFERROR(VLOOKUP(B48,Frentes!$A$5:$B$64,2,0),""))</f>
        <v>m²</v>
      </c>
      <c r="E48" s="17">
        <v>400</v>
      </c>
      <c r="F48" s="17">
        <v>16</v>
      </c>
      <c r="G48" s="17"/>
      <c r="H48" s="17"/>
      <c r="I48" s="19" t="s">
        <v>207</v>
      </c>
      <c r="J48" s="23">
        <f>IF(AND(ISNUMBER(E48),ISNUMBER(F48)),IF(F48&gt;0,E48/F48,""),"")</f>
        <v>25</v>
      </c>
      <c r="K48" s="23" t="str">
        <f>IF(AND(ISNUMBER(G48),ISNUMBER(H48)),IF(H48&gt;0,G48/H48,""),"")</f>
        <v/>
      </c>
      <c r="L48" s="24" t="str">
        <f>IF(AND(ISNUMBER(J48),ISNUMBER(K48)),IF(J48&gt;0,K48/J48,""),"")</f>
        <v/>
      </c>
    </row>
    <row r="49" spans="1:12" x14ac:dyDescent="0.25">
      <c r="A49" s="18">
        <v>46307</v>
      </c>
      <c r="B49" s="16" t="s">
        <v>66</v>
      </c>
      <c r="C49" s="19"/>
      <c r="D49" s="23" t="str">
        <f>IF(B49="","",IFERROR(VLOOKUP(B49,Frentes!$A$5:$B$64,2,0),""))</f>
        <v>m²</v>
      </c>
      <c r="E49" s="17">
        <v>260</v>
      </c>
      <c r="F49" s="17">
        <v>8</v>
      </c>
      <c r="G49" s="17"/>
      <c r="H49" s="17"/>
      <c r="I49" s="19" t="s">
        <v>208</v>
      </c>
      <c r="J49" s="23">
        <f>IF(AND(ISNUMBER(E49),ISNUMBER(F49)),IF(F49&gt;0,E49/F49,""),"")</f>
        <v>32.5</v>
      </c>
      <c r="K49" s="23" t="str">
        <f>IF(AND(ISNUMBER(G49),ISNUMBER(H49)),IF(H49&gt;0,G49/H49,""),"")</f>
        <v/>
      </c>
      <c r="L49" s="24" t="str">
        <f>IF(AND(ISNUMBER(J49),ISNUMBER(K49)),IF(J49&gt;0,K49/J49,""),"")</f>
        <v/>
      </c>
    </row>
    <row r="50" spans="1:12" x14ac:dyDescent="0.25">
      <c r="A50" s="18">
        <v>46307</v>
      </c>
      <c r="B50" s="16" t="s">
        <v>68</v>
      </c>
      <c r="C50" s="19"/>
      <c r="D50" s="23" t="str">
        <f>IF(B50="","",IFERROR(VLOOKUP(B50,Frentes!$A$5:$B$64,2,0),""))</f>
        <v>pav.</v>
      </c>
      <c r="E50" s="17">
        <v>8</v>
      </c>
      <c r="F50" s="17">
        <v>10</v>
      </c>
      <c r="G50" s="17"/>
      <c r="H50" s="17"/>
      <c r="I50" s="19" t="s">
        <v>209</v>
      </c>
      <c r="J50" s="23">
        <f>IF(AND(ISNUMBER(E50),ISNUMBER(F50)),IF(F50&gt;0,E50/F50,""),"")</f>
        <v>0.8</v>
      </c>
      <c r="K50" s="23" t="str">
        <f>IF(AND(ISNUMBER(G50),ISNUMBER(H50)),IF(H50&gt;0,G50/H50,""),"")</f>
        <v/>
      </c>
      <c r="L50" s="24" t="str">
        <f>IF(AND(ISNUMBER(J50),ISNUMBER(K50)),IF(J50&gt;0,K50/J50,""),"")</f>
        <v/>
      </c>
    </row>
    <row r="51" spans="1:12" x14ac:dyDescent="0.25">
      <c r="A51" s="18">
        <v>46307</v>
      </c>
      <c r="B51" s="16" t="s">
        <v>71</v>
      </c>
      <c r="C51" s="19"/>
      <c r="D51" s="23" t="str">
        <f>IF(B51="","",IFERROR(VLOOKUP(B51,Frentes!$A$5:$B$64,2,0),""))</f>
        <v>m²</v>
      </c>
      <c r="E51" s="17">
        <v>320</v>
      </c>
      <c r="F51" s="17">
        <v>10</v>
      </c>
      <c r="G51" s="17"/>
      <c r="H51" s="17"/>
      <c r="I51" s="19" t="s">
        <v>210</v>
      </c>
      <c r="J51" s="23">
        <f>IF(AND(ISNUMBER(E51),ISNUMBER(F51)),IF(F51&gt;0,E51/F51,""),"")</f>
        <v>32</v>
      </c>
      <c r="K51" s="23" t="str">
        <f>IF(AND(ISNUMBER(G51),ISNUMBER(H51)),IF(H51&gt;0,G51/H51,""),"")</f>
        <v/>
      </c>
      <c r="L51" s="24" t="str">
        <f>IF(AND(ISNUMBER(J51),ISNUMBER(K51)),IF(J51&gt;0,K51/J51,""),"")</f>
        <v/>
      </c>
    </row>
    <row r="52" spans="1:12" x14ac:dyDescent="0.25">
      <c r="A52" s="18">
        <v>46307</v>
      </c>
      <c r="B52" s="16" t="s">
        <v>72</v>
      </c>
      <c r="C52" s="19"/>
      <c r="D52" s="23" t="str">
        <f>IF(B52="","",IFERROR(VLOOKUP(B52,Frentes!$A$5:$B$64,2,0),""))</f>
        <v>m²</v>
      </c>
      <c r="E52" s="17">
        <v>540</v>
      </c>
      <c r="F52" s="17">
        <v>10</v>
      </c>
      <c r="G52" s="17"/>
      <c r="H52" s="17"/>
      <c r="I52" s="19" t="s">
        <v>211</v>
      </c>
      <c r="J52" s="23">
        <f>IF(AND(ISNUMBER(E52),ISNUMBER(F52)),IF(F52&gt;0,E52/F52,""),"")</f>
        <v>54</v>
      </c>
      <c r="K52" s="23" t="str">
        <f>IF(AND(ISNUMBER(G52),ISNUMBER(H52)),IF(H52&gt;0,G52/H52,""),"")</f>
        <v/>
      </c>
      <c r="L52" s="24" t="str">
        <f>IF(AND(ISNUMBER(J52),ISNUMBER(K52)),IF(J52&gt;0,K52/J52,""),"")</f>
        <v/>
      </c>
    </row>
    <row r="53" spans="1:12" x14ac:dyDescent="0.25">
      <c r="A53" s="18">
        <v>46307</v>
      </c>
      <c r="B53" s="16" t="s">
        <v>74</v>
      </c>
      <c r="C53" s="19"/>
      <c r="D53" s="23" t="str">
        <f>IF(B53="","",IFERROR(VLOOKUP(B53,Frentes!$A$5:$B$64,2,0),""))</f>
        <v>m²</v>
      </c>
      <c r="E53" s="17">
        <v>260</v>
      </c>
      <c r="F53" s="17">
        <v>10</v>
      </c>
      <c r="G53" s="17"/>
      <c r="H53" s="17"/>
      <c r="I53" s="19" t="s">
        <v>212</v>
      </c>
      <c r="J53" s="23">
        <f>IF(AND(ISNUMBER(E53),ISNUMBER(F53)),IF(F53&gt;0,E53/F53,""),"")</f>
        <v>26</v>
      </c>
      <c r="K53" s="23" t="str">
        <f>IF(AND(ISNUMBER(G53),ISNUMBER(H53)),IF(H53&gt;0,G53/H53,""),"")</f>
        <v/>
      </c>
      <c r="L53" s="24" t="str">
        <f>IF(AND(ISNUMBER(J53),ISNUMBER(K53)),IF(J53&gt;0,K53/J53,""),"")</f>
        <v/>
      </c>
    </row>
    <row r="54" spans="1:12" x14ac:dyDescent="0.25">
      <c r="A54" s="18">
        <v>46307</v>
      </c>
      <c r="B54" s="16" t="s">
        <v>79</v>
      </c>
      <c r="C54" s="19"/>
      <c r="D54" s="23" t="str">
        <f>IF(B54="","",IFERROR(VLOOKUP(B54,Frentes!$A$5:$B$64,2,0),""))</f>
        <v>pontos</v>
      </c>
      <c r="E54" s="17">
        <v>100</v>
      </c>
      <c r="F54" s="17">
        <v>6</v>
      </c>
      <c r="G54" s="17"/>
      <c r="H54" s="17"/>
      <c r="I54" s="19" t="s">
        <v>213</v>
      </c>
      <c r="J54" s="23">
        <f>IF(AND(ISNUMBER(E54),ISNUMBER(F54)),IF(F54&gt;0,E54/F54,""),"")</f>
        <v>16.666666666666668</v>
      </c>
      <c r="K54" s="23" t="str">
        <f>IF(AND(ISNUMBER(G54),ISNUMBER(H54)),IF(H54&gt;0,G54/H54,""),"")</f>
        <v/>
      </c>
      <c r="L54" s="24" t="str">
        <f>IF(AND(ISNUMBER(J54),ISNUMBER(K54)),IF(J54&gt;0,K54/J54,""),"")</f>
        <v/>
      </c>
    </row>
    <row r="55" spans="1:12" x14ac:dyDescent="0.25">
      <c r="A55" s="18">
        <v>46314</v>
      </c>
      <c r="B55" s="16" t="s">
        <v>55</v>
      </c>
      <c r="C55" s="19"/>
      <c r="D55" s="23" t="str">
        <f>IF(B55="","",IFERROR(VLOOKUP(B55,Frentes!$A$5:$B$64,2,0),""))</f>
        <v>m²</v>
      </c>
      <c r="E55" s="17">
        <v>620</v>
      </c>
      <c r="F55" s="17">
        <v>15</v>
      </c>
      <c r="G55" s="17"/>
      <c r="H55" s="17"/>
      <c r="I55" s="19"/>
      <c r="J55" s="23">
        <f>IF(AND(ISNUMBER(E55),ISNUMBER(F55)),IF(F55&gt;0,E55/F55,""),"")</f>
        <v>41.333333333333336</v>
      </c>
      <c r="K55" s="23" t="str">
        <f>IF(AND(ISNUMBER(G55),ISNUMBER(H55)),IF(H55&gt;0,G55/H55,""),"")</f>
        <v/>
      </c>
      <c r="L55" s="24" t="str">
        <f>IF(AND(ISNUMBER(J55),ISNUMBER(K55)),IF(J55&gt;0,K55/J55,""),"")</f>
        <v/>
      </c>
    </row>
    <row r="56" spans="1:12" x14ac:dyDescent="0.25">
      <c r="A56" s="18">
        <v>46314</v>
      </c>
      <c r="B56" s="16" t="s">
        <v>58</v>
      </c>
      <c r="C56" s="19"/>
      <c r="D56" s="23" t="str">
        <f>IF(B56="","",IFERROR(VLOOKUP(B56,Frentes!$A$5:$B$64,2,0),""))</f>
        <v>lance</v>
      </c>
      <c r="E56" s="17">
        <v>4</v>
      </c>
      <c r="F56" s="17">
        <v>6</v>
      </c>
      <c r="G56" s="17"/>
      <c r="H56" s="17"/>
      <c r="I56" s="19"/>
      <c r="J56" s="23">
        <f>IF(AND(ISNUMBER(E56),ISNUMBER(F56)),IF(F56&gt;0,E56/F56,""),"")</f>
        <v>0.6666666666666666</v>
      </c>
      <c r="K56" s="23" t="str">
        <f>IF(AND(ISNUMBER(G56),ISNUMBER(H56)),IF(H56&gt;0,G56/H56,""),"")</f>
        <v/>
      </c>
      <c r="L56" s="24" t="str">
        <f>IF(AND(ISNUMBER(J56),ISNUMBER(K56)),IF(J56&gt;0,K56/J56,""),"")</f>
        <v/>
      </c>
    </row>
    <row r="57" spans="1:12" x14ac:dyDescent="0.25">
      <c r="A57" s="18">
        <v>46314</v>
      </c>
      <c r="B57" s="16" t="s">
        <v>61</v>
      </c>
      <c r="C57" s="19"/>
      <c r="D57" s="23" t="str">
        <f>IF(B57="","",IFERROR(VLOOKUP(B57,Frentes!$A$5:$B$64,2,0),""))</f>
        <v>pontos</v>
      </c>
      <c r="E57" s="17">
        <v>110</v>
      </c>
      <c r="F57" s="17">
        <v>8</v>
      </c>
      <c r="G57" s="17"/>
      <c r="H57" s="17"/>
      <c r="I57" s="19"/>
      <c r="J57" s="23">
        <f>IF(AND(ISNUMBER(E57),ISNUMBER(F57)),IF(F57&gt;0,E57/F57,""),"")</f>
        <v>13.75</v>
      </c>
      <c r="K57" s="23" t="str">
        <f>IF(AND(ISNUMBER(G57),ISNUMBER(H57)),IF(H57&gt;0,G57/H57,""),"")</f>
        <v/>
      </c>
      <c r="L57" s="24" t="str">
        <f>IF(AND(ISNUMBER(J57),ISNUMBER(K57)),IF(J57&gt;0,K57/J57,""),"")</f>
        <v/>
      </c>
    </row>
    <row r="58" spans="1:12" x14ac:dyDescent="0.25">
      <c r="A58" s="18">
        <v>46314</v>
      </c>
      <c r="B58" s="16" t="s">
        <v>64</v>
      </c>
      <c r="C58" s="19"/>
      <c r="D58" s="23" t="str">
        <f>IF(B58="","",IFERROR(VLOOKUP(B58,Frentes!$A$5:$B$64,2,0),""))</f>
        <v>m²</v>
      </c>
      <c r="E58" s="17">
        <v>480</v>
      </c>
      <c r="F58" s="17">
        <v>18</v>
      </c>
      <c r="G58" s="17"/>
      <c r="H58" s="17"/>
      <c r="I58" s="19"/>
      <c r="J58" s="23">
        <f>IF(AND(ISNUMBER(E58),ISNUMBER(F58)),IF(F58&gt;0,E58/F58,""),"")</f>
        <v>26.666666666666668</v>
      </c>
      <c r="K58" s="23" t="str">
        <f>IF(AND(ISNUMBER(G58),ISNUMBER(H58)),IF(H58&gt;0,G58/H58,""),"")</f>
        <v/>
      </c>
      <c r="L58" s="24" t="str">
        <f>IF(AND(ISNUMBER(J58),ISNUMBER(K58)),IF(J58&gt;0,K58/J58,""),"")</f>
        <v/>
      </c>
    </row>
    <row r="59" spans="1:12" x14ac:dyDescent="0.25">
      <c r="A59" s="18">
        <v>46314</v>
      </c>
      <c r="B59" s="16" t="s">
        <v>66</v>
      </c>
      <c r="C59" s="19"/>
      <c r="D59" s="23" t="str">
        <f>IF(B59="","",IFERROR(VLOOKUP(B59,Frentes!$A$5:$B$64,2,0),""))</f>
        <v>m²</v>
      </c>
      <c r="E59" s="17">
        <v>260</v>
      </c>
      <c r="F59" s="17">
        <v>8</v>
      </c>
      <c r="G59" s="17"/>
      <c r="H59" s="17"/>
      <c r="I59" s="19"/>
      <c r="J59" s="23">
        <f>IF(AND(ISNUMBER(E59),ISNUMBER(F59)),IF(F59&gt;0,E59/F59,""),"")</f>
        <v>32.5</v>
      </c>
      <c r="K59" s="23" t="str">
        <f>IF(AND(ISNUMBER(G59),ISNUMBER(H59)),IF(H59&gt;0,G59/H59,""),"")</f>
        <v/>
      </c>
      <c r="L59" s="24" t="str">
        <f>IF(AND(ISNUMBER(J59),ISNUMBER(K59)),IF(J59&gt;0,K59/J59,""),"")</f>
        <v/>
      </c>
    </row>
    <row r="60" spans="1:12" x14ac:dyDescent="0.25">
      <c r="A60" s="18">
        <v>46314</v>
      </c>
      <c r="B60" s="16" t="s">
        <v>68</v>
      </c>
      <c r="C60" s="19"/>
      <c r="D60" s="23" t="str">
        <f>IF(B60="","",IFERROR(VLOOKUP(B60,Frentes!$A$5:$B$64,2,0),""))</f>
        <v>pav.</v>
      </c>
      <c r="E60" s="17">
        <v>8</v>
      </c>
      <c r="F60" s="17">
        <v>10</v>
      </c>
      <c r="G60" s="17"/>
      <c r="H60" s="17"/>
      <c r="I60" s="19"/>
      <c r="J60" s="23">
        <f>IF(AND(ISNUMBER(E60),ISNUMBER(F60)),IF(F60&gt;0,E60/F60,""),"")</f>
        <v>0.8</v>
      </c>
      <c r="K60" s="23" t="str">
        <f>IF(AND(ISNUMBER(G60),ISNUMBER(H60)),IF(H60&gt;0,G60/H60,""),"")</f>
        <v/>
      </c>
      <c r="L60" s="24" t="str">
        <f>IF(AND(ISNUMBER(J60),ISNUMBER(K60)),IF(J60&gt;0,K60/J60,""),"")</f>
        <v/>
      </c>
    </row>
    <row r="61" spans="1:12" x14ac:dyDescent="0.25">
      <c r="A61" s="18">
        <v>46314</v>
      </c>
      <c r="B61" s="16" t="s">
        <v>71</v>
      </c>
      <c r="C61" s="19"/>
      <c r="D61" s="23" t="str">
        <f>IF(B61="","",IFERROR(VLOOKUP(B61,Frentes!$A$5:$B$64,2,0),""))</f>
        <v>m²</v>
      </c>
      <c r="E61" s="17">
        <v>320</v>
      </c>
      <c r="F61" s="17">
        <v>10</v>
      </c>
      <c r="G61" s="17"/>
      <c r="H61" s="17"/>
      <c r="I61" s="19"/>
      <c r="J61" s="23">
        <f>IF(AND(ISNUMBER(E61),ISNUMBER(F61)),IF(F61&gt;0,E61/F61,""),"")</f>
        <v>32</v>
      </c>
      <c r="K61" s="23" t="str">
        <f>IF(AND(ISNUMBER(G61),ISNUMBER(H61)),IF(H61&gt;0,G61/H61,""),"")</f>
        <v/>
      </c>
      <c r="L61" s="24" t="str">
        <f>IF(AND(ISNUMBER(J61),ISNUMBER(K61)),IF(J61&gt;0,K61/J61,""),"")</f>
        <v/>
      </c>
    </row>
    <row r="62" spans="1:12" x14ac:dyDescent="0.25">
      <c r="A62" s="18">
        <v>46314</v>
      </c>
      <c r="B62" s="16" t="s">
        <v>72</v>
      </c>
      <c r="C62" s="19"/>
      <c r="D62" s="23" t="str">
        <f>IF(B62="","",IFERROR(VLOOKUP(B62,Frentes!$A$5:$B$64,2,0),""))</f>
        <v>m²</v>
      </c>
      <c r="E62" s="17">
        <v>400</v>
      </c>
      <c r="F62" s="17">
        <v>8</v>
      </c>
      <c r="G62" s="17"/>
      <c r="H62" s="17"/>
      <c r="I62" s="19"/>
      <c r="J62" s="23">
        <f>IF(AND(ISNUMBER(E62),ISNUMBER(F62)),IF(F62&gt;0,E62/F62,""),"")</f>
        <v>50</v>
      </c>
      <c r="K62" s="23" t="str">
        <f>IF(AND(ISNUMBER(G62),ISNUMBER(H62)),IF(H62&gt;0,G62/H62,""),"")</f>
        <v/>
      </c>
      <c r="L62" s="24" t="str">
        <f>IF(AND(ISNUMBER(J62),ISNUMBER(K62)),IF(J62&gt;0,K62/J62,""),"")</f>
        <v/>
      </c>
    </row>
    <row r="63" spans="1:12" x14ac:dyDescent="0.25">
      <c r="A63" s="18">
        <v>46314</v>
      </c>
      <c r="B63" s="16" t="s">
        <v>74</v>
      </c>
      <c r="C63" s="19"/>
      <c r="D63" s="23" t="str">
        <f>IF(B63="","",IFERROR(VLOOKUP(B63,Frentes!$A$5:$B$64,2,0),""))</f>
        <v>m²</v>
      </c>
      <c r="E63" s="17">
        <v>400</v>
      </c>
      <c r="F63" s="17">
        <v>14</v>
      </c>
      <c r="G63" s="17"/>
      <c r="H63" s="17"/>
      <c r="I63" s="19"/>
      <c r="J63" s="23">
        <f>IF(AND(ISNUMBER(E63),ISNUMBER(F63)),IF(F63&gt;0,E63/F63,""),"")</f>
        <v>28.571428571428573</v>
      </c>
      <c r="K63" s="23" t="str">
        <f>IF(AND(ISNUMBER(G63),ISNUMBER(H63)),IF(H63&gt;0,G63/H63,""),"")</f>
        <v/>
      </c>
      <c r="L63" s="24" t="str">
        <f>IF(AND(ISNUMBER(J63),ISNUMBER(K63)),IF(J63&gt;0,K63/J63,""),"")</f>
        <v/>
      </c>
    </row>
    <row r="64" spans="1:12" x14ac:dyDescent="0.25">
      <c r="A64" s="18">
        <v>46321</v>
      </c>
      <c r="B64" s="16" t="s">
        <v>55</v>
      </c>
      <c r="C64" s="19"/>
      <c r="D64" s="23" t="str">
        <f>IF(B64="","",IFERROR(VLOOKUP(B64,Frentes!$A$5:$B$64,2,0),""))</f>
        <v>m²</v>
      </c>
      <c r="E64" s="17">
        <v>600</v>
      </c>
      <c r="F64" s="17">
        <v>15</v>
      </c>
      <c r="G64" s="17"/>
      <c r="H64" s="17"/>
      <c r="I64" s="19"/>
      <c r="J64" s="23">
        <f>IF(AND(ISNUMBER(E64),ISNUMBER(F64)),IF(F64&gt;0,E64/F64,""),"")</f>
        <v>40</v>
      </c>
      <c r="K64" s="23" t="str">
        <f>IF(AND(ISNUMBER(G64),ISNUMBER(H64)),IF(H64&gt;0,G64/H64,""),"")</f>
        <v/>
      </c>
      <c r="L64" s="24" t="str">
        <f>IF(AND(ISNUMBER(J64),ISNUMBER(K64)),IF(J64&gt;0,K64/J64,""),"")</f>
        <v/>
      </c>
    </row>
    <row r="65" spans="1:12" x14ac:dyDescent="0.25">
      <c r="A65" s="18">
        <v>46321</v>
      </c>
      <c r="B65" s="16" t="s">
        <v>58</v>
      </c>
      <c r="C65" s="19"/>
      <c r="D65" s="23" t="str">
        <f>IF(B65="","",IFERROR(VLOOKUP(B65,Frentes!$A$5:$B$64,2,0),""))</f>
        <v>lance</v>
      </c>
      <c r="E65" s="17">
        <v>2</v>
      </c>
      <c r="F65" s="17">
        <v>4</v>
      </c>
      <c r="G65" s="17"/>
      <c r="H65" s="17"/>
      <c r="I65" s="19"/>
      <c r="J65" s="23">
        <f>IF(AND(ISNUMBER(E65),ISNUMBER(F65)),IF(F65&gt;0,E65/F65,""),"")</f>
        <v>0.5</v>
      </c>
      <c r="K65" s="23" t="str">
        <f>IF(AND(ISNUMBER(G65),ISNUMBER(H65)),IF(H65&gt;0,G65/H65,""),"")</f>
        <v/>
      </c>
      <c r="L65" s="24" t="str">
        <f>IF(AND(ISNUMBER(J65),ISNUMBER(K65)),IF(J65&gt;0,K65/J65,""),"")</f>
        <v/>
      </c>
    </row>
    <row r="66" spans="1:12" x14ac:dyDescent="0.25">
      <c r="A66" s="18">
        <v>46321</v>
      </c>
      <c r="B66" s="16" t="s">
        <v>61</v>
      </c>
      <c r="C66" s="19"/>
      <c r="D66" s="23" t="str">
        <f>IF(B66="","",IFERROR(VLOOKUP(B66,Frentes!$A$5:$B$64,2,0),""))</f>
        <v>pontos</v>
      </c>
      <c r="E66" s="17">
        <v>90</v>
      </c>
      <c r="F66" s="17">
        <v>8</v>
      </c>
      <c r="G66" s="17"/>
      <c r="H66" s="17"/>
      <c r="I66" s="19"/>
      <c r="J66" s="23">
        <f>IF(AND(ISNUMBER(E66),ISNUMBER(F66)),IF(F66&gt;0,E66/F66,""),"")</f>
        <v>11.25</v>
      </c>
      <c r="K66" s="23" t="str">
        <f>IF(AND(ISNUMBER(G66),ISNUMBER(H66)),IF(H66&gt;0,G66/H66,""),"")</f>
        <v/>
      </c>
      <c r="L66" s="24" t="str">
        <f>IF(AND(ISNUMBER(J66),ISNUMBER(K66)),IF(J66&gt;0,K66/J66,""),"")</f>
        <v/>
      </c>
    </row>
    <row r="67" spans="1:12" x14ac:dyDescent="0.25">
      <c r="A67" s="18">
        <v>46321</v>
      </c>
      <c r="B67" s="16" t="s">
        <v>64</v>
      </c>
      <c r="C67" s="19"/>
      <c r="D67" s="23" t="str">
        <f>IF(B67="","",IFERROR(VLOOKUP(B67,Frentes!$A$5:$B$64,2,0),""))</f>
        <v>m²</v>
      </c>
      <c r="E67" s="17">
        <v>300</v>
      </c>
      <c r="F67" s="17">
        <v>12</v>
      </c>
      <c r="G67" s="17"/>
      <c r="H67" s="17"/>
      <c r="I67" s="19"/>
      <c r="J67" s="23">
        <f>IF(AND(ISNUMBER(E67),ISNUMBER(F67)),IF(F67&gt;0,E67/F67,""),"")</f>
        <v>25</v>
      </c>
      <c r="K67" s="23" t="str">
        <f>IF(AND(ISNUMBER(G67),ISNUMBER(H67)),IF(H67&gt;0,G67/H67,""),"")</f>
        <v/>
      </c>
      <c r="L67" s="24" t="str">
        <f>IF(AND(ISNUMBER(J67),ISNUMBER(K67)),IF(J67&gt;0,K67/J67,""),"")</f>
        <v/>
      </c>
    </row>
    <row r="68" spans="1:12" x14ac:dyDescent="0.25">
      <c r="A68" s="18">
        <v>46321</v>
      </c>
      <c r="B68" s="16" t="s">
        <v>66</v>
      </c>
      <c r="C68" s="19"/>
      <c r="D68" s="23" t="str">
        <f>IF(B68="","",IFERROR(VLOOKUP(B68,Frentes!$A$5:$B$64,2,0),""))</f>
        <v>m²</v>
      </c>
      <c r="E68" s="17">
        <v>250</v>
      </c>
      <c r="F68" s="17">
        <v>8</v>
      </c>
      <c r="G68" s="17"/>
      <c r="H68" s="17"/>
      <c r="I68" s="19"/>
      <c r="J68" s="23">
        <f>IF(AND(ISNUMBER(E68),ISNUMBER(F68)),IF(F68&gt;0,E68/F68,""),"")</f>
        <v>31.25</v>
      </c>
      <c r="K68" s="23" t="str">
        <f>IF(AND(ISNUMBER(G68),ISNUMBER(H68)),IF(H68&gt;0,G68/H68,""),"")</f>
        <v/>
      </c>
      <c r="L68" s="24" t="str">
        <f>IF(AND(ISNUMBER(J68),ISNUMBER(K68)),IF(J68&gt;0,K68/J68,""),"")</f>
        <v/>
      </c>
    </row>
    <row r="69" spans="1:12" x14ac:dyDescent="0.25">
      <c r="A69" s="18">
        <v>46321</v>
      </c>
      <c r="B69" s="16" t="s">
        <v>68</v>
      </c>
      <c r="C69" s="19"/>
      <c r="D69" s="23" t="str">
        <f>IF(B69="","",IFERROR(VLOOKUP(B69,Frentes!$A$5:$B$64,2,0),""))</f>
        <v>pav.</v>
      </c>
      <c r="E69" s="17">
        <v>8</v>
      </c>
      <c r="F69" s="17">
        <v>10</v>
      </c>
      <c r="G69" s="17"/>
      <c r="H69" s="17"/>
      <c r="I69" s="19"/>
      <c r="J69" s="23">
        <f>IF(AND(ISNUMBER(E69),ISNUMBER(F69)),IF(F69&gt;0,E69/F69,""),"")</f>
        <v>0.8</v>
      </c>
      <c r="K69" s="23" t="str">
        <f>IF(AND(ISNUMBER(G69),ISNUMBER(H69)),IF(H69&gt;0,G69/H69,""),"")</f>
        <v/>
      </c>
      <c r="L69" s="24" t="str">
        <f>IF(AND(ISNUMBER(J69),ISNUMBER(K69)),IF(J69&gt;0,K69/J69,""),"")</f>
        <v/>
      </c>
    </row>
    <row r="70" spans="1:12" x14ac:dyDescent="0.25">
      <c r="A70" s="18">
        <v>46321</v>
      </c>
      <c r="B70" s="16" t="s">
        <v>71</v>
      </c>
      <c r="C70" s="19"/>
      <c r="D70" s="23" t="str">
        <f>IF(B70="","",IFERROR(VLOOKUP(B70,Frentes!$A$5:$B$64,2,0),""))</f>
        <v>m²</v>
      </c>
      <c r="E70" s="17">
        <v>300</v>
      </c>
      <c r="F70" s="17">
        <v>10</v>
      </c>
      <c r="G70" s="17"/>
      <c r="H70" s="17"/>
      <c r="I70" s="19"/>
      <c r="J70" s="23">
        <f>IF(AND(ISNUMBER(E70),ISNUMBER(F70)),IF(F70&gt;0,E70/F70,""),"")</f>
        <v>30</v>
      </c>
      <c r="K70" s="23" t="str">
        <f>IF(AND(ISNUMBER(G70),ISNUMBER(H70)),IF(H70&gt;0,G70/H70,""),"")</f>
        <v/>
      </c>
      <c r="L70" s="24" t="str">
        <f>IF(AND(ISNUMBER(J70),ISNUMBER(K70)),IF(J70&gt;0,K70/J70,""),"")</f>
        <v/>
      </c>
    </row>
    <row r="71" spans="1:12" x14ac:dyDescent="0.25">
      <c r="A71" s="18">
        <v>46321</v>
      </c>
      <c r="B71" s="16" t="s">
        <v>72</v>
      </c>
      <c r="C71" s="19"/>
      <c r="D71" s="23" t="str">
        <f>IF(B71="","",IFERROR(VLOOKUP(B71,Frentes!$A$5:$B$64,2,0),""))</f>
        <v>m²</v>
      </c>
      <c r="E71" s="17">
        <v>400</v>
      </c>
      <c r="F71" s="17">
        <v>8</v>
      </c>
      <c r="G71" s="17"/>
      <c r="H71" s="17"/>
      <c r="I71" s="19"/>
      <c r="J71" s="23">
        <f>IF(AND(ISNUMBER(E71),ISNUMBER(F71)),IF(F71&gt;0,E71/F71,""),"")</f>
        <v>50</v>
      </c>
      <c r="K71" s="23" t="str">
        <f>IF(AND(ISNUMBER(G71),ISNUMBER(H71)),IF(H71&gt;0,G71/H71,""),"")</f>
        <v/>
      </c>
      <c r="L71" s="24" t="str">
        <f>IF(AND(ISNUMBER(J71),ISNUMBER(K71)),IF(J71&gt;0,K71/J71,""),"")</f>
        <v/>
      </c>
    </row>
    <row r="72" spans="1:12" x14ac:dyDescent="0.25">
      <c r="A72" s="18">
        <v>46321</v>
      </c>
      <c r="B72" s="16" t="s">
        <v>74</v>
      </c>
      <c r="C72" s="19"/>
      <c r="D72" s="23" t="str">
        <f>IF(B72="","",IFERROR(VLOOKUP(B72,Frentes!$A$5:$B$64,2,0),""))</f>
        <v>m²</v>
      </c>
      <c r="E72" s="17">
        <v>420</v>
      </c>
      <c r="F72" s="17">
        <v>14</v>
      </c>
      <c r="G72" s="17"/>
      <c r="H72" s="17"/>
      <c r="I72" s="19"/>
      <c r="J72" s="23">
        <f>IF(AND(ISNUMBER(E72),ISNUMBER(F72)),IF(F72&gt;0,E72/F72,""),"")</f>
        <v>30</v>
      </c>
      <c r="K72" s="23" t="str">
        <f>IF(AND(ISNUMBER(G72),ISNUMBER(H72)),IF(H72&gt;0,G72/H72,""),"")</f>
        <v/>
      </c>
      <c r="L72" s="24" t="str">
        <f>IF(AND(ISNUMBER(J72),ISNUMBER(K72)),IF(J72&gt;0,K72/J72,""),"")</f>
        <v/>
      </c>
    </row>
    <row r="73" spans="1:12" x14ac:dyDescent="0.25">
      <c r="A73" s="18"/>
      <c r="B73" s="21"/>
      <c r="C73" s="19"/>
      <c r="D73" s="23" t="str">
        <f>IF(B73="","",IFERROR(VLOOKUP(B73,Frentes!$A$5:$B$64,2,0),""))</f>
        <v/>
      </c>
      <c r="E73" s="17"/>
      <c r="F73" s="17"/>
      <c r="G73" s="17"/>
      <c r="H73" s="17"/>
      <c r="I73" s="19"/>
      <c r="J73" s="23" t="str">
        <f>IF(AND(ISNUMBER(E73),ISNUMBER(F73)),IF(F73&gt;0,E73/F73,""),"")</f>
        <v/>
      </c>
      <c r="K73" s="23" t="str">
        <f>IF(AND(ISNUMBER(G73),ISNUMBER(H73)),IF(H73&gt;0,G73/H73,""),"")</f>
        <v/>
      </c>
      <c r="L73" s="24" t="str">
        <f>IF(AND(ISNUMBER(J73),ISNUMBER(K73)),IF(J73&gt;0,K73/J73,""),"")</f>
        <v/>
      </c>
    </row>
    <row r="74" spans="1:12" x14ac:dyDescent="0.25">
      <c r="A74" s="18"/>
      <c r="B74" s="21"/>
      <c r="C74" s="19"/>
      <c r="D74" s="23" t="str">
        <f>IF(B74="","",IFERROR(VLOOKUP(B74,Frentes!$A$5:$B$64,2,0),""))</f>
        <v/>
      </c>
      <c r="E74" s="17"/>
      <c r="F74" s="17"/>
      <c r="G74" s="17"/>
      <c r="H74" s="17"/>
      <c r="I74" s="19"/>
      <c r="J74" s="23" t="str">
        <f>IF(AND(ISNUMBER(E74),ISNUMBER(F74)),IF(F74&gt;0,E74/F74,""),"")</f>
        <v/>
      </c>
      <c r="K74" s="23" t="str">
        <f>IF(AND(ISNUMBER(G74),ISNUMBER(H74)),IF(H74&gt;0,G74/H74,""),"")</f>
        <v/>
      </c>
      <c r="L74" s="24" t="str">
        <f>IF(AND(ISNUMBER(J74),ISNUMBER(K74)),IF(J74&gt;0,K74/J74,""),"")</f>
        <v/>
      </c>
    </row>
    <row r="75" spans="1:12" x14ac:dyDescent="0.25">
      <c r="A75" s="18"/>
      <c r="B75" s="21"/>
      <c r="C75" s="19"/>
      <c r="D75" s="23" t="str">
        <f>IF(B75="","",IFERROR(VLOOKUP(B75,Frentes!$A$5:$B$64,2,0),""))</f>
        <v/>
      </c>
      <c r="E75" s="17"/>
      <c r="F75" s="17"/>
      <c r="G75" s="17"/>
      <c r="H75" s="17"/>
      <c r="I75" s="19"/>
      <c r="J75" s="23" t="str">
        <f>IF(AND(ISNUMBER(E75),ISNUMBER(F75)),IF(F75&gt;0,E75/F75,""),"")</f>
        <v/>
      </c>
      <c r="K75" s="23" t="str">
        <f>IF(AND(ISNUMBER(G75),ISNUMBER(H75)),IF(H75&gt;0,G75/H75,""),"")</f>
        <v/>
      </c>
      <c r="L75" s="24" t="str">
        <f>IF(AND(ISNUMBER(J75),ISNUMBER(K75)),IF(J75&gt;0,K75/J75,""),"")</f>
        <v/>
      </c>
    </row>
    <row r="76" spans="1:12" x14ac:dyDescent="0.25">
      <c r="A76" s="18"/>
      <c r="B76" s="21"/>
      <c r="C76" s="19"/>
      <c r="D76" s="23" t="str">
        <f>IF(B76="","",IFERROR(VLOOKUP(B76,Frentes!$A$5:$B$64,2,0),""))</f>
        <v/>
      </c>
      <c r="E76" s="17"/>
      <c r="F76" s="17"/>
      <c r="G76" s="17"/>
      <c r="H76" s="17"/>
      <c r="I76" s="19"/>
      <c r="J76" s="23" t="str">
        <f>IF(AND(ISNUMBER(E76),ISNUMBER(F76)),IF(F76&gt;0,E76/F76,""),"")</f>
        <v/>
      </c>
      <c r="K76" s="23" t="str">
        <f>IF(AND(ISNUMBER(G76),ISNUMBER(H76)),IF(H76&gt;0,G76/H76,""),"")</f>
        <v/>
      </c>
      <c r="L76" s="24" t="str">
        <f>IF(AND(ISNUMBER(J76),ISNUMBER(K76)),IF(J76&gt;0,K76/J76,""),"")</f>
        <v/>
      </c>
    </row>
    <row r="77" spans="1:12" x14ac:dyDescent="0.25">
      <c r="A77" s="18"/>
      <c r="B77" s="21"/>
      <c r="C77" s="19"/>
      <c r="D77" s="23" t="str">
        <f>IF(B77="","",IFERROR(VLOOKUP(B77,Frentes!$A$5:$B$64,2,0),""))</f>
        <v/>
      </c>
      <c r="E77" s="17"/>
      <c r="F77" s="17"/>
      <c r="G77" s="17"/>
      <c r="H77" s="17"/>
      <c r="I77" s="19"/>
      <c r="J77" s="23" t="str">
        <f>IF(AND(ISNUMBER(E77),ISNUMBER(F77)),IF(F77&gt;0,E77/F77,""),"")</f>
        <v/>
      </c>
      <c r="K77" s="23" t="str">
        <f>IF(AND(ISNUMBER(G77),ISNUMBER(H77)),IF(H77&gt;0,G77/H77,""),"")</f>
        <v/>
      </c>
      <c r="L77" s="24" t="str">
        <f>IF(AND(ISNUMBER(J77),ISNUMBER(K77)),IF(J77&gt;0,K77/J77,""),"")</f>
        <v/>
      </c>
    </row>
    <row r="78" spans="1:12" x14ac:dyDescent="0.25">
      <c r="A78" s="18"/>
      <c r="B78" s="21"/>
      <c r="C78" s="19"/>
      <c r="D78" s="23" t="str">
        <f>IF(B78="","",IFERROR(VLOOKUP(B78,Frentes!$A$5:$B$64,2,0),""))</f>
        <v/>
      </c>
      <c r="E78" s="17"/>
      <c r="F78" s="17"/>
      <c r="G78" s="17"/>
      <c r="H78" s="17"/>
      <c r="I78" s="19"/>
      <c r="J78" s="23" t="str">
        <f>IF(AND(ISNUMBER(E78),ISNUMBER(F78)),IF(F78&gt;0,E78/F78,""),"")</f>
        <v/>
      </c>
      <c r="K78" s="23" t="str">
        <f>IF(AND(ISNUMBER(G78),ISNUMBER(H78)),IF(H78&gt;0,G78/H78,""),"")</f>
        <v/>
      </c>
      <c r="L78" s="24" t="str">
        <f>IF(AND(ISNUMBER(J78),ISNUMBER(K78)),IF(J78&gt;0,K78/J78,""),"")</f>
        <v/>
      </c>
    </row>
    <row r="79" spans="1:12" x14ac:dyDescent="0.25">
      <c r="A79" s="18"/>
      <c r="B79" s="21"/>
      <c r="C79" s="19"/>
      <c r="D79" s="23" t="str">
        <f>IF(B79="","",IFERROR(VLOOKUP(B79,Frentes!$A$5:$B$64,2,0),""))</f>
        <v/>
      </c>
      <c r="E79" s="17"/>
      <c r="F79" s="17"/>
      <c r="G79" s="17"/>
      <c r="H79" s="17"/>
      <c r="I79" s="19"/>
      <c r="J79" s="23" t="str">
        <f>IF(AND(ISNUMBER(E79),ISNUMBER(F79)),IF(F79&gt;0,E79/F79,""),"")</f>
        <v/>
      </c>
      <c r="K79" s="23" t="str">
        <f>IF(AND(ISNUMBER(G79),ISNUMBER(H79)),IF(H79&gt;0,G79/H79,""),"")</f>
        <v/>
      </c>
      <c r="L79" s="24" t="str">
        <f>IF(AND(ISNUMBER(J79),ISNUMBER(K79)),IF(J79&gt;0,K79/J79,""),"")</f>
        <v/>
      </c>
    </row>
    <row r="80" spans="1:12" x14ac:dyDescent="0.25">
      <c r="A80" s="18"/>
      <c r="B80" s="21"/>
      <c r="C80" s="19"/>
      <c r="D80" s="23" t="str">
        <f>IF(B80="","",IFERROR(VLOOKUP(B80,Frentes!$A$5:$B$64,2,0),""))</f>
        <v/>
      </c>
      <c r="E80" s="17"/>
      <c r="F80" s="17"/>
      <c r="G80" s="17"/>
      <c r="H80" s="17"/>
      <c r="I80" s="19"/>
      <c r="J80" s="23" t="str">
        <f>IF(AND(ISNUMBER(E80),ISNUMBER(F80)),IF(F80&gt;0,E80/F80,""),"")</f>
        <v/>
      </c>
      <c r="K80" s="23" t="str">
        <f>IF(AND(ISNUMBER(G80),ISNUMBER(H80)),IF(H80&gt;0,G80/H80,""),"")</f>
        <v/>
      </c>
      <c r="L80" s="24" t="str">
        <f>IF(AND(ISNUMBER(J80),ISNUMBER(K80)),IF(J80&gt;0,K80/J80,""),"")</f>
        <v/>
      </c>
    </row>
    <row r="81" spans="1:12" x14ac:dyDescent="0.25">
      <c r="A81" s="18"/>
      <c r="B81" s="21"/>
      <c r="C81" s="19"/>
      <c r="D81" s="23" t="str">
        <f>IF(B81="","",IFERROR(VLOOKUP(B81,Frentes!$A$5:$B$64,2,0),""))</f>
        <v/>
      </c>
      <c r="E81" s="17"/>
      <c r="F81" s="17"/>
      <c r="G81" s="17"/>
      <c r="H81" s="17"/>
      <c r="I81" s="19"/>
      <c r="J81" s="23" t="str">
        <f>IF(AND(ISNUMBER(E81),ISNUMBER(F81)),IF(F81&gt;0,E81/F81,""),"")</f>
        <v/>
      </c>
      <c r="K81" s="23" t="str">
        <f>IF(AND(ISNUMBER(G81),ISNUMBER(H81)),IF(H81&gt;0,G81/H81,""),"")</f>
        <v/>
      </c>
      <c r="L81" s="24" t="str">
        <f>IF(AND(ISNUMBER(J81),ISNUMBER(K81)),IF(J81&gt;0,K81/J81,""),"")</f>
        <v/>
      </c>
    </row>
    <row r="82" spans="1:12" x14ac:dyDescent="0.25">
      <c r="A82" s="18"/>
      <c r="B82" s="21"/>
      <c r="C82" s="19"/>
      <c r="D82" s="23" t="str">
        <f>IF(B82="","",IFERROR(VLOOKUP(B82,Frentes!$A$5:$B$64,2,0),""))</f>
        <v/>
      </c>
      <c r="E82" s="17"/>
      <c r="F82" s="17"/>
      <c r="G82" s="17"/>
      <c r="H82" s="17"/>
      <c r="I82" s="19"/>
      <c r="J82" s="23" t="str">
        <f>IF(AND(ISNUMBER(E82),ISNUMBER(F82)),IF(F82&gt;0,E82/F82,""),"")</f>
        <v/>
      </c>
      <c r="K82" s="23" t="str">
        <f>IF(AND(ISNUMBER(G82),ISNUMBER(H82)),IF(H82&gt;0,G82/H82,""),"")</f>
        <v/>
      </c>
      <c r="L82" s="24" t="str">
        <f>IF(AND(ISNUMBER(J82),ISNUMBER(K82)),IF(J82&gt;0,K82/J82,""),"")</f>
        <v/>
      </c>
    </row>
    <row r="83" spans="1:12" x14ac:dyDescent="0.25">
      <c r="A83" s="18"/>
      <c r="B83" s="21"/>
      <c r="C83" s="19"/>
      <c r="D83" s="23" t="str">
        <f>IF(B83="","",IFERROR(VLOOKUP(B83,Frentes!$A$5:$B$64,2,0),""))</f>
        <v/>
      </c>
      <c r="E83" s="17"/>
      <c r="F83" s="17"/>
      <c r="G83" s="17"/>
      <c r="H83" s="17"/>
      <c r="I83" s="19"/>
      <c r="J83" s="23" t="str">
        <f>IF(AND(ISNUMBER(E83),ISNUMBER(F83)),IF(F83&gt;0,E83/F83,""),"")</f>
        <v/>
      </c>
      <c r="K83" s="23" t="str">
        <f>IF(AND(ISNUMBER(G83),ISNUMBER(H83)),IF(H83&gt;0,G83/H83,""),"")</f>
        <v/>
      </c>
      <c r="L83" s="24" t="str">
        <f>IF(AND(ISNUMBER(J83),ISNUMBER(K83)),IF(J83&gt;0,K83/J83,""),"")</f>
        <v/>
      </c>
    </row>
    <row r="84" spans="1:12" x14ac:dyDescent="0.25">
      <c r="A84" s="18"/>
      <c r="B84" s="21"/>
      <c r="C84" s="19"/>
      <c r="D84" s="23" t="str">
        <f>IF(B84="","",IFERROR(VLOOKUP(B84,Frentes!$A$5:$B$64,2,0),""))</f>
        <v/>
      </c>
      <c r="E84" s="17"/>
      <c r="F84" s="17"/>
      <c r="G84" s="17"/>
      <c r="H84" s="17"/>
      <c r="I84" s="19"/>
      <c r="J84" s="23" t="str">
        <f>IF(AND(ISNUMBER(E84),ISNUMBER(F84)),IF(F84&gt;0,E84/F84,""),"")</f>
        <v/>
      </c>
      <c r="K84" s="23" t="str">
        <f>IF(AND(ISNUMBER(G84),ISNUMBER(H84)),IF(H84&gt;0,G84/H84,""),"")</f>
        <v/>
      </c>
      <c r="L84" s="24" t="str">
        <f>IF(AND(ISNUMBER(J84),ISNUMBER(K84)),IF(J84&gt;0,K84/J84,""),"")</f>
        <v/>
      </c>
    </row>
    <row r="85" spans="1:12" x14ac:dyDescent="0.25">
      <c r="A85" s="18"/>
      <c r="B85" s="21"/>
      <c r="C85" s="19"/>
      <c r="D85" s="23" t="str">
        <f>IF(B85="","",IFERROR(VLOOKUP(B85,Frentes!$A$5:$B$64,2,0),""))</f>
        <v/>
      </c>
      <c r="E85" s="17"/>
      <c r="F85" s="17"/>
      <c r="G85" s="17"/>
      <c r="H85" s="17"/>
      <c r="I85" s="19"/>
      <c r="J85" s="23" t="str">
        <f>IF(AND(ISNUMBER(E85),ISNUMBER(F85)),IF(F85&gt;0,E85/F85,""),"")</f>
        <v/>
      </c>
      <c r="K85" s="23" t="str">
        <f>IF(AND(ISNUMBER(G85),ISNUMBER(H85)),IF(H85&gt;0,G85/H85,""),"")</f>
        <v/>
      </c>
      <c r="L85" s="24" t="str">
        <f>IF(AND(ISNUMBER(J85),ISNUMBER(K85)),IF(J85&gt;0,K85/J85,""),"")</f>
        <v/>
      </c>
    </row>
    <row r="86" spans="1:12" x14ac:dyDescent="0.25">
      <c r="A86" s="18"/>
      <c r="B86" s="21"/>
      <c r="C86" s="19"/>
      <c r="D86" s="23" t="str">
        <f>IF(B86="","",IFERROR(VLOOKUP(B86,Frentes!$A$5:$B$64,2,0),""))</f>
        <v/>
      </c>
      <c r="E86" s="17"/>
      <c r="F86" s="17"/>
      <c r="G86" s="17"/>
      <c r="H86" s="17"/>
      <c r="I86" s="19"/>
      <c r="J86" s="23" t="str">
        <f>IF(AND(ISNUMBER(E86),ISNUMBER(F86)),IF(F86&gt;0,E86/F86,""),"")</f>
        <v/>
      </c>
      <c r="K86" s="23" t="str">
        <f>IF(AND(ISNUMBER(G86),ISNUMBER(H86)),IF(H86&gt;0,G86/H86,""),"")</f>
        <v/>
      </c>
      <c r="L86" s="24" t="str">
        <f>IF(AND(ISNUMBER(J86),ISNUMBER(K86)),IF(J86&gt;0,K86/J86,""),"")</f>
        <v/>
      </c>
    </row>
    <row r="87" spans="1:12" x14ac:dyDescent="0.25">
      <c r="A87" s="18"/>
      <c r="B87" s="21"/>
      <c r="C87" s="19"/>
      <c r="D87" s="23" t="str">
        <f>IF(B87="","",IFERROR(VLOOKUP(B87,Frentes!$A$5:$B$64,2,0),""))</f>
        <v/>
      </c>
      <c r="E87" s="17"/>
      <c r="F87" s="17"/>
      <c r="G87" s="17"/>
      <c r="H87" s="17"/>
      <c r="I87" s="19"/>
      <c r="J87" s="23" t="str">
        <f>IF(AND(ISNUMBER(E87),ISNUMBER(F87)),IF(F87&gt;0,E87/F87,""),"")</f>
        <v/>
      </c>
      <c r="K87" s="23" t="str">
        <f>IF(AND(ISNUMBER(G87),ISNUMBER(H87)),IF(H87&gt;0,G87/H87,""),"")</f>
        <v/>
      </c>
      <c r="L87" s="24" t="str">
        <f>IF(AND(ISNUMBER(J87),ISNUMBER(K87)),IF(J87&gt;0,K87/J87,""),"")</f>
        <v/>
      </c>
    </row>
    <row r="88" spans="1:12" x14ac:dyDescent="0.25">
      <c r="A88" s="18"/>
      <c r="B88" s="21"/>
      <c r="C88" s="19"/>
      <c r="D88" s="23" t="str">
        <f>IF(B88="","",IFERROR(VLOOKUP(B88,Frentes!$A$5:$B$64,2,0),""))</f>
        <v/>
      </c>
      <c r="E88" s="17"/>
      <c r="F88" s="17"/>
      <c r="G88" s="17"/>
      <c r="H88" s="17"/>
      <c r="I88" s="19"/>
      <c r="J88" s="23" t="str">
        <f>IF(AND(ISNUMBER(E88),ISNUMBER(F88)),IF(F88&gt;0,E88/F88,""),"")</f>
        <v/>
      </c>
      <c r="K88" s="23" t="str">
        <f>IF(AND(ISNUMBER(G88),ISNUMBER(H88)),IF(H88&gt;0,G88/H88,""),"")</f>
        <v/>
      </c>
      <c r="L88" s="24" t="str">
        <f>IF(AND(ISNUMBER(J88),ISNUMBER(K88)),IF(J88&gt;0,K88/J88,""),"")</f>
        <v/>
      </c>
    </row>
    <row r="89" spans="1:12" x14ac:dyDescent="0.25">
      <c r="A89" s="18"/>
      <c r="B89" s="21"/>
      <c r="C89" s="19"/>
      <c r="D89" s="23" t="str">
        <f>IF(B89="","",IFERROR(VLOOKUP(B89,Frentes!$A$5:$B$64,2,0),""))</f>
        <v/>
      </c>
      <c r="E89" s="17"/>
      <c r="F89" s="17"/>
      <c r="G89" s="17"/>
      <c r="H89" s="17"/>
      <c r="I89" s="19"/>
      <c r="J89" s="23" t="str">
        <f>IF(AND(ISNUMBER(E89),ISNUMBER(F89)),IF(F89&gt;0,E89/F89,""),"")</f>
        <v/>
      </c>
      <c r="K89" s="23" t="str">
        <f>IF(AND(ISNUMBER(G89),ISNUMBER(H89)),IF(H89&gt;0,G89/H89,""),"")</f>
        <v/>
      </c>
      <c r="L89" s="24" t="str">
        <f>IF(AND(ISNUMBER(J89),ISNUMBER(K89)),IF(J89&gt;0,K89/J89,""),"")</f>
        <v/>
      </c>
    </row>
    <row r="90" spans="1:12" x14ac:dyDescent="0.25">
      <c r="A90" s="18"/>
      <c r="B90" s="21"/>
      <c r="C90" s="19"/>
      <c r="D90" s="23" t="str">
        <f>IF(B90="","",IFERROR(VLOOKUP(B90,Frentes!$A$5:$B$64,2,0),""))</f>
        <v/>
      </c>
      <c r="E90" s="17"/>
      <c r="F90" s="17"/>
      <c r="G90" s="17"/>
      <c r="H90" s="17"/>
      <c r="I90" s="19"/>
      <c r="J90" s="23" t="str">
        <f>IF(AND(ISNUMBER(E90),ISNUMBER(F90)),IF(F90&gt;0,E90/F90,""),"")</f>
        <v/>
      </c>
      <c r="K90" s="23" t="str">
        <f>IF(AND(ISNUMBER(G90),ISNUMBER(H90)),IF(H90&gt;0,G90/H90,""),"")</f>
        <v/>
      </c>
      <c r="L90" s="24" t="str">
        <f>IF(AND(ISNUMBER(J90),ISNUMBER(K90)),IF(J90&gt;0,K90/J90,""),"")</f>
        <v/>
      </c>
    </row>
    <row r="91" spans="1:12" x14ac:dyDescent="0.25">
      <c r="A91" s="18"/>
      <c r="B91" s="21"/>
      <c r="C91" s="19"/>
      <c r="D91" s="23" t="str">
        <f>IF(B91="","",IFERROR(VLOOKUP(B91,Frentes!$A$5:$B$64,2,0),""))</f>
        <v/>
      </c>
      <c r="E91" s="17"/>
      <c r="F91" s="17"/>
      <c r="G91" s="17"/>
      <c r="H91" s="17"/>
      <c r="I91" s="19"/>
      <c r="J91" s="23" t="str">
        <f>IF(AND(ISNUMBER(E91),ISNUMBER(F91)),IF(F91&gt;0,E91/F91,""),"")</f>
        <v/>
      </c>
      <c r="K91" s="23" t="str">
        <f>IF(AND(ISNUMBER(G91),ISNUMBER(H91)),IF(H91&gt;0,G91/H91,""),"")</f>
        <v/>
      </c>
      <c r="L91" s="24" t="str">
        <f>IF(AND(ISNUMBER(J91),ISNUMBER(K91)),IF(J91&gt;0,K91/J91,""),"")</f>
        <v/>
      </c>
    </row>
    <row r="92" spans="1:12" x14ac:dyDescent="0.25">
      <c r="A92" s="18"/>
      <c r="B92" s="21"/>
      <c r="C92" s="19"/>
      <c r="D92" s="23" t="str">
        <f>IF(B92="","",IFERROR(VLOOKUP(B92,Frentes!$A$5:$B$64,2,0),""))</f>
        <v/>
      </c>
      <c r="E92" s="17"/>
      <c r="F92" s="17"/>
      <c r="G92" s="17"/>
      <c r="H92" s="17"/>
      <c r="I92" s="19"/>
      <c r="J92" s="23" t="str">
        <f>IF(AND(ISNUMBER(E92),ISNUMBER(F92)),IF(F92&gt;0,E92/F92,""),"")</f>
        <v/>
      </c>
      <c r="K92" s="23" t="str">
        <f>IF(AND(ISNUMBER(G92),ISNUMBER(H92)),IF(H92&gt;0,G92/H92,""),"")</f>
        <v/>
      </c>
      <c r="L92" s="24" t="str">
        <f>IF(AND(ISNUMBER(J92),ISNUMBER(K92)),IF(J92&gt;0,K92/J92,""),"")</f>
        <v/>
      </c>
    </row>
    <row r="93" spans="1:12" x14ac:dyDescent="0.25">
      <c r="A93" s="18"/>
      <c r="B93" s="21"/>
      <c r="C93" s="19"/>
      <c r="D93" s="23" t="str">
        <f>IF(B93="","",IFERROR(VLOOKUP(B93,Frentes!$A$5:$B$64,2,0),""))</f>
        <v/>
      </c>
      <c r="E93" s="17"/>
      <c r="F93" s="17"/>
      <c r="G93" s="17"/>
      <c r="H93" s="17"/>
      <c r="I93" s="19"/>
      <c r="J93" s="23" t="str">
        <f>IF(AND(ISNUMBER(E93),ISNUMBER(F93)),IF(F93&gt;0,E93/F93,""),"")</f>
        <v/>
      </c>
      <c r="K93" s="23" t="str">
        <f>IF(AND(ISNUMBER(G93),ISNUMBER(H93)),IF(H93&gt;0,G93/H93,""),"")</f>
        <v/>
      </c>
      <c r="L93" s="24" t="str">
        <f>IF(AND(ISNUMBER(J93),ISNUMBER(K93)),IF(J93&gt;0,K93/J93,""),"")</f>
        <v/>
      </c>
    </row>
    <row r="94" spans="1:12" x14ac:dyDescent="0.25">
      <c r="A94" s="18"/>
      <c r="B94" s="21"/>
      <c r="C94" s="19"/>
      <c r="D94" s="23" t="str">
        <f>IF(B94="","",IFERROR(VLOOKUP(B94,Frentes!$A$5:$B$64,2,0),""))</f>
        <v/>
      </c>
      <c r="E94" s="17"/>
      <c r="F94" s="17"/>
      <c r="G94" s="17"/>
      <c r="H94" s="17"/>
      <c r="I94" s="19"/>
      <c r="J94" s="23" t="str">
        <f>IF(AND(ISNUMBER(E94),ISNUMBER(F94)),IF(F94&gt;0,E94/F94,""),"")</f>
        <v/>
      </c>
      <c r="K94" s="23" t="str">
        <f>IF(AND(ISNUMBER(G94),ISNUMBER(H94)),IF(H94&gt;0,G94/H94,""),"")</f>
        <v/>
      </c>
      <c r="L94" s="24" t="str">
        <f>IF(AND(ISNUMBER(J94),ISNUMBER(K94)),IF(J94&gt;0,K94/J94,""),"")</f>
        <v/>
      </c>
    </row>
    <row r="95" spans="1:12" x14ac:dyDescent="0.25">
      <c r="A95" s="18"/>
      <c r="B95" s="21"/>
      <c r="C95" s="19"/>
      <c r="D95" s="23" t="str">
        <f>IF(B95="","",IFERROR(VLOOKUP(B95,Frentes!$A$5:$B$64,2,0),""))</f>
        <v/>
      </c>
      <c r="E95" s="17"/>
      <c r="F95" s="17"/>
      <c r="G95" s="17"/>
      <c r="H95" s="17"/>
      <c r="I95" s="19"/>
      <c r="J95" s="23" t="str">
        <f>IF(AND(ISNUMBER(E95),ISNUMBER(F95)),IF(F95&gt;0,E95/F95,""),"")</f>
        <v/>
      </c>
      <c r="K95" s="23" t="str">
        <f>IF(AND(ISNUMBER(G95),ISNUMBER(H95)),IF(H95&gt;0,G95/H95,""),"")</f>
        <v/>
      </c>
      <c r="L95" s="24" t="str">
        <f>IF(AND(ISNUMBER(J95),ISNUMBER(K95)),IF(J95&gt;0,K95/J95,""),"")</f>
        <v/>
      </c>
    </row>
    <row r="96" spans="1:12" x14ac:dyDescent="0.25">
      <c r="A96" s="18"/>
      <c r="B96" s="21"/>
      <c r="C96" s="19"/>
      <c r="D96" s="23" t="str">
        <f>IF(B96="","",IFERROR(VLOOKUP(B96,Frentes!$A$5:$B$64,2,0),""))</f>
        <v/>
      </c>
      <c r="E96" s="17"/>
      <c r="F96" s="17"/>
      <c r="G96" s="17"/>
      <c r="H96" s="17"/>
      <c r="I96" s="19"/>
      <c r="J96" s="23" t="str">
        <f>IF(AND(ISNUMBER(E96),ISNUMBER(F96)),IF(F96&gt;0,E96/F96,""),"")</f>
        <v/>
      </c>
      <c r="K96" s="23" t="str">
        <f>IF(AND(ISNUMBER(G96),ISNUMBER(H96)),IF(H96&gt;0,G96/H96,""),"")</f>
        <v/>
      </c>
      <c r="L96" s="24" t="str">
        <f>IF(AND(ISNUMBER(J96),ISNUMBER(K96)),IF(J96&gt;0,K96/J96,""),"")</f>
        <v/>
      </c>
    </row>
    <row r="97" spans="1:12" x14ac:dyDescent="0.25">
      <c r="A97" s="18"/>
      <c r="B97" s="21"/>
      <c r="C97" s="19"/>
      <c r="D97" s="23" t="str">
        <f>IF(B97="","",IFERROR(VLOOKUP(B97,Frentes!$A$5:$B$64,2,0),""))</f>
        <v/>
      </c>
      <c r="E97" s="17"/>
      <c r="F97" s="17"/>
      <c r="G97" s="17"/>
      <c r="H97" s="17"/>
      <c r="I97" s="19"/>
      <c r="J97" s="23" t="str">
        <f>IF(AND(ISNUMBER(E97),ISNUMBER(F97)),IF(F97&gt;0,E97/F97,""),"")</f>
        <v/>
      </c>
      <c r="K97" s="23" t="str">
        <f>IF(AND(ISNUMBER(G97),ISNUMBER(H97)),IF(H97&gt;0,G97/H97,""),"")</f>
        <v/>
      </c>
      <c r="L97" s="24" t="str">
        <f>IF(AND(ISNUMBER(J97),ISNUMBER(K97)),IF(J97&gt;0,K97/J97,""),"")</f>
        <v/>
      </c>
    </row>
    <row r="98" spans="1:12" x14ac:dyDescent="0.25">
      <c r="A98" s="18"/>
      <c r="B98" s="21"/>
      <c r="C98" s="19"/>
      <c r="D98" s="23" t="str">
        <f>IF(B98="","",IFERROR(VLOOKUP(B98,Frentes!$A$5:$B$64,2,0),""))</f>
        <v/>
      </c>
      <c r="E98" s="17"/>
      <c r="F98" s="17"/>
      <c r="G98" s="17"/>
      <c r="H98" s="17"/>
      <c r="I98" s="19"/>
      <c r="J98" s="23" t="str">
        <f>IF(AND(ISNUMBER(E98),ISNUMBER(F98)),IF(F98&gt;0,E98/F98,""),"")</f>
        <v/>
      </c>
      <c r="K98" s="23" t="str">
        <f>IF(AND(ISNUMBER(G98),ISNUMBER(H98)),IF(H98&gt;0,G98/H98,""),"")</f>
        <v/>
      </c>
      <c r="L98" s="24" t="str">
        <f>IF(AND(ISNUMBER(J98),ISNUMBER(K98)),IF(J98&gt;0,K98/J98,""),"")</f>
        <v/>
      </c>
    </row>
    <row r="99" spans="1:12" x14ac:dyDescent="0.25">
      <c r="A99" s="18"/>
      <c r="B99" s="21"/>
      <c r="C99" s="19"/>
      <c r="D99" s="23" t="str">
        <f>IF(B99="","",IFERROR(VLOOKUP(B99,Frentes!$A$5:$B$64,2,0),""))</f>
        <v/>
      </c>
      <c r="E99" s="17"/>
      <c r="F99" s="17"/>
      <c r="G99" s="17"/>
      <c r="H99" s="17"/>
      <c r="I99" s="19"/>
      <c r="J99" s="23" t="str">
        <f>IF(AND(ISNUMBER(E99),ISNUMBER(F99)),IF(F99&gt;0,E99/F99,""),"")</f>
        <v/>
      </c>
      <c r="K99" s="23" t="str">
        <f>IF(AND(ISNUMBER(G99),ISNUMBER(H99)),IF(H99&gt;0,G99/H99,""),"")</f>
        <v/>
      </c>
      <c r="L99" s="24" t="str">
        <f>IF(AND(ISNUMBER(J99),ISNUMBER(K99)),IF(J99&gt;0,K99/J99,""),"")</f>
        <v/>
      </c>
    </row>
    <row r="100" spans="1:12" x14ac:dyDescent="0.25">
      <c r="A100" s="18"/>
      <c r="B100" s="21"/>
      <c r="C100" s="19"/>
      <c r="D100" s="23" t="str">
        <f>IF(B100="","",IFERROR(VLOOKUP(B100,Frentes!$A$5:$B$64,2,0),""))</f>
        <v/>
      </c>
      <c r="E100" s="17"/>
      <c r="F100" s="17"/>
      <c r="G100" s="17"/>
      <c r="H100" s="17"/>
      <c r="I100" s="19"/>
      <c r="J100" s="23" t="str">
        <f>IF(AND(ISNUMBER(E100),ISNUMBER(F100)),IF(F100&gt;0,E100/F100,""),"")</f>
        <v/>
      </c>
      <c r="K100" s="23" t="str">
        <f>IF(AND(ISNUMBER(G100),ISNUMBER(H100)),IF(H100&gt;0,G100/H100,""),"")</f>
        <v/>
      </c>
      <c r="L100" s="24" t="str">
        <f>IF(AND(ISNUMBER(J100),ISNUMBER(K100)),IF(J100&gt;0,K100/J100,""),"")</f>
        <v/>
      </c>
    </row>
    <row r="101" spans="1:12" x14ac:dyDescent="0.25">
      <c r="A101" s="18"/>
      <c r="B101" s="21"/>
      <c r="C101" s="19"/>
      <c r="D101" s="23" t="str">
        <f>IF(B101="","",IFERROR(VLOOKUP(B101,Frentes!$A$5:$B$64,2,0),""))</f>
        <v/>
      </c>
      <c r="E101" s="17"/>
      <c r="F101" s="17"/>
      <c r="G101" s="17"/>
      <c r="H101" s="17"/>
      <c r="I101" s="19"/>
      <c r="J101" s="23" t="str">
        <f>IF(AND(ISNUMBER(E101),ISNUMBER(F101)),IF(F101&gt;0,E101/F101,""),"")</f>
        <v/>
      </c>
      <c r="K101" s="23" t="str">
        <f>IF(AND(ISNUMBER(G101),ISNUMBER(H101)),IF(H101&gt;0,G101/H101,""),"")</f>
        <v/>
      </c>
      <c r="L101" s="24" t="str">
        <f>IF(AND(ISNUMBER(J101),ISNUMBER(K101)),IF(J101&gt;0,K101/J101,""),"")</f>
        <v/>
      </c>
    </row>
    <row r="102" spans="1:12" x14ac:dyDescent="0.25">
      <c r="A102" s="18"/>
      <c r="B102" s="21"/>
      <c r="C102" s="19"/>
      <c r="D102" s="23" t="str">
        <f>IF(B102="","",IFERROR(VLOOKUP(B102,Frentes!$A$5:$B$64,2,0),""))</f>
        <v/>
      </c>
      <c r="E102" s="17"/>
      <c r="F102" s="17"/>
      <c r="G102" s="17"/>
      <c r="H102" s="17"/>
      <c r="I102" s="19"/>
      <c r="J102" s="23" t="str">
        <f>IF(AND(ISNUMBER(E102),ISNUMBER(F102)),IF(F102&gt;0,E102/F102,""),"")</f>
        <v/>
      </c>
      <c r="K102" s="23" t="str">
        <f>IF(AND(ISNUMBER(G102),ISNUMBER(H102)),IF(H102&gt;0,G102/H102,""),"")</f>
        <v/>
      </c>
      <c r="L102" s="24" t="str">
        <f>IF(AND(ISNUMBER(J102),ISNUMBER(K102)),IF(J102&gt;0,K102/J102,""),"")</f>
        <v/>
      </c>
    </row>
    <row r="103" spans="1:12" x14ac:dyDescent="0.25">
      <c r="A103" s="18"/>
      <c r="B103" s="21"/>
      <c r="C103" s="19"/>
      <c r="D103" s="23" t="str">
        <f>IF(B103="","",IFERROR(VLOOKUP(B103,Frentes!$A$5:$B$64,2,0),""))</f>
        <v/>
      </c>
      <c r="E103" s="17"/>
      <c r="F103" s="17"/>
      <c r="G103" s="17"/>
      <c r="H103" s="17"/>
      <c r="I103" s="19"/>
      <c r="J103" s="23" t="str">
        <f>IF(AND(ISNUMBER(E103),ISNUMBER(F103)),IF(F103&gt;0,E103/F103,""),"")</f>
        <v/>
      </c>
      <c r="K103" s="23" t="str">
        <f>IF(AND(ISNUMBER(G103),ISNUMBER(H103)),IF(H103&gt;0,G103/H103,""),"")</f>
        <v/>
      </c>
      <c r="L103" s="24" t="str">
        <f>IF(AND(ISNUMBER(J103),ISNUMBER(K103)),IF(J103&gt;0,K103/J103,""),"")</f>
        <v/>
      </c>
    </row>
    <row r="104" spans="1:12" x14ac:dyDescent="0.25">
      <c r="A104" s="18"/>
      <c r="B104" s="21"/>
      <c r="C104" s="19"/>
      <c r="D104" s="23" t="str">
        <f>IF(B104="","",IFERROR(VLOOKUP(B104,Frentes!$A$5:$B$64,2,0),""))</f>
        <v/>
      </c>
      <c r="E104" s="17"/>
      <c r="F104" s="17"/>
      <c r="G104" s="17"/>
      <c r="H104" s="17"/>
      <c r="I104" s="19"/>
      <c r="J104" s="23" t="str">
        <f>IF(AND(ISNUMBER(E104),ISNUMBER(F104)),IF(F104&gt;0,E104/F104,""),"")</f>
        <v/>
      </c>
      <c r="K104" s="23" t="str">
        <f>IF(AND(ISNUMBER(G104),ISNUMBER(H104)),IF(H104&gt;0,G104/H104,""),"")</f>
        <v/>
      </c>
      <c r="L104" s="24" t="str">
        <f>IF(AND(ISNUMBER(J104),ISNUMBER(K104)),IF(J104&gt;0,K104/J104,""),"")</f>
        <v/>
      </c>
    </row>
    <row r="105" spans="1:12" x14ac:dyDescent="0.25">
      <c r="A105" s="18"/>
      <c r="B105" s="21"/>
      <c r="C105" s="19"/>
      <c r="D105" s="23" t="str">
        <f>IF(B105="","",IFERROR(VLOOKUP(B105,Frentes!$A$5:$B$64,2,0),""))</f>
        <v/>
      </c>
      <c r="E105" s="17"/>
      <c r="F105" s="17"/>
      <c r="G105" s="17"/>
      <c r="H105" s="17"/>
      <c r="I105" s="19"/>
      <c r="J105" s="23" t="str">
        <f>IF(AND(ISNUMBER(E105),ISNUMBER(F105)),IF(F105&gt;0,E105/F105,""),"")</f>
        <v/>
      </c>
      <c r="K105" s="23" t="str">
        <f>IF(AND(ISNUMBER(G105),ISNUMBER(H105)),IF(H105&gt;0,G105/H105,""),"")</f>
        <v/>
      </c>
      <c r="L105" s="24" t="str">
        <f>IF(AND(ISNUMBER(J105),ISNUMBER(K105)),IF(J105&gt;0,K105/J105,""),"")</f>
        <v/>
      </c>
    </row>
    <row r="106" spans="1:12" x14ac:dyDescent="0.25">
      <c r="A106" s="18"/>
      <c r="B106" s="21"/>
      <c r="C106" s="19"/>
      <c r="D106" s="23" t="str">
        <f>IF(B106="","",IFERROR(VLOOKUP(B106,Frentes!$A$5:$B$64,2,0),""))</f>
        <v/>
      </c>
      <c r="E106" s="17"/>
      <c r="F106" s="17"/>
      <c r="G106" s="17"/>
      <c r="H106" s="17"/>
      <c r="I106" s="19"/>
      <c r="J106" s="23" t="str">
        <f>IF(AND(ISNUMBER(E106),ISNUMBER(F106)),IF(F106&gt;0,E106/F106,""),"")</f>
        <v/>
      </c>
      <c r="K106" s="23" t="str">
        <f>IF(AND(ISNUMBER(G106),ISNUMBER(H106)),IF(H106&gt;0,G106/H106,""),"")</f>
        <v/>
      </c>
      <c r="L106" s="24" t="str">
        <f>IF(AND(ISNUMBER(J106),ISNUMBER(K106)),IF(J106&gt;0,K106/J106,""),"")</f>
        <v/>
      </c>
    </row>
    <row r="107" spans="1:12" x14ac:dyDescent="0.25">
      <c r="A107" s="18"/>
      <c r="B107" s="21"/>
      <c r="C107" s="19"/>
      <c r="D107" s="23" t="str">
        <f>IF(B107="","",IFERROR(VLOOKUP(B107,Frentes!$A$5:$B$64,2,0),""))</f>
        <v/>
      </c>
      <c r="E107" s="17"/>
      <c r="F107" s="17"/>
      <c r="G107" s="17"/>
      <c r="H107" s="17"/>
      <c r="I107" s="19"/>
      <c r="J107" s="23" t="str">
        <f>IF(AND(ISNUMBER(E107),ISNUMBER(F107)),IF(F107&gt;0,E107/F107,""),"")</f>
        <v/>
      </c>
      <c r="K107" s="23" t="str">
        <f>IF(AND(ISNUMBER(G107),ISNUMBER(H107)),IF(H107&gt;0,G107/H107,""),"")</f>
        <v/>
      </c>
      <c r="L107" s="24" t="str">
        <f>IF(AND(ISNUMBER(J107),ISNUMBER(K107)),IF(J107&gt;0,K107/J107,""),"")</f>
        <v/>
      </c>
    </row>
    <row r="108" spans="1:12" x14ac:dyDescent="0.25">
      <c r="A108" s="18"/>
      <c r="B108" s="21"/>
      <c r="C108" s="19"/>
      <c r="D108" s="23" t="str">
        <f>IF(B108="","",IFERROR(VLOOKUP(B108,Frentes!$A$5:$B$64,2,0),""))</f>
        <v/>
      </c>
      <c r="E108" s="17"/>
      <c r="F108" s="17"/>
      <c r="G108" s="17"/>
      <c r="H108" s="17"/>
      <c r="I108" s="19"/>
      <c r="J108" s="23" t="str">
        <f>IF(AND(ISNUMBER(E108),ISNUMBER(F108)),IF(F108&gt;0,E108/F108,""),"")</f>
        <v/>
      </c>
      <c r="K108" s="23" t="str">
        <f>IF(AND(ISNUMBER(G108),ISNUMBER(H108)),IF(H108&gt;0,G108/H108,""),"")</f>
        <v/>
      </c>
      <c r="L108" s="24" t="str">
        <f>IF(AND(ISNUMBER(J108),ISNUMBER(K108)),IF(J108&gt;0,K108/J108,""),"")</f>
        <v/>
      </c>
    </row>
    <row r="109" spans="1:12" x14ac:dyDescent="0.25">
      <c r="A109" s="18"/>
      <c r="B109" s="21"/>
      <c r="C109" s="19"/>
      <c r="D109" s="23" t="str">
        <f>IF(B109="","",IFERROR(VLOOKUP(B109,Frentes!$A$5:$B$64,2,0),""))</f>
        <v/>
      </c>
      <c r="E109" s="17"/>
      <c r="F109" s="17"/>
      <c r="G109" s="17"/>
      <c r="H109" s="17"/>
      <c r="I109" s="19"/>
      <c r="J109" s="23" t="str">
        <f>IF(AND(ISNUMBER(E109),ISNUMBER(F109)),IF(F109&gt;0,E109/F109,""),"")</f>
        <v/>
      </c>
      <c r="K109" s="23" t="str">
        <f>IF(AND(ISNUMBER(G109),ISNUMBER(H109)),IF(H109&gt;0,G109/H109,""),"")</f>
        <v/>
      </c>
      <c r="L109" s="24" t="str">
        <f>IF(AND(ISNUMBER(J109),ISNUMBER(K109)),IF(J109&gt;0,K109/J109,""),"")</f>
        <v/>
      </c>
    </row>
    <row r="110" spans="1:12" x14ac:dyDescent="0.25">
      <c r="A110" s="18"/>
      <c r="B110" s="21"/>
      <c r="C110" s="19"/>
      <c r="D110" s="23" t="str">
        <f>IF(B110="","",IFERROR(VLOOKUP(B110,Frentes!$A$5:$B$64,2,0),""))</f>
        <v/>
      </c>
      <c r="E110" s="17"/>
      <c r="F110" s="17"/>
      <c r="G110" s="17"/>
      <c r="H110" s="17"/>
      <c r="I110" s="19"/>
      <c r="J110" s="23" t="str">
        <f>IF(AND(ISNUMBER(E110),ISNUMBER(F110)),IF(F110&gt;0,E110/F110,""),"")</f>
        <v/>
      </c>
      <c r="K110" s="23" t="str">
        <f>IF(AND(ISNUMBER(G110),ISNUMBER(H110)),IF(H110&gt;0,G110/H110,""),"")</f>
        <v/>
      </c>
      <c r="L110" s="24" t="str">
        <f>IF(AND(ISNUMBER(J110),ISNUMBER(K110)),IF(J110&gt;0,K110/J110,""),"")</f>
        <v/>
      </c>
    </row>
    <row r="111" spans="1:12" x14ac:dyDescent="0.25">
      <c r="A111" s="18"/>
      <c r="B111" s="21"/>
      <c r="C111" s="19"/>
      <c r="D111" s="23" t="str">
        <f>IF(B111="","",IFERROR(VLOOKUP(B111,Frentes!$A$5:$B$64,2,0),""))</f>
        <v/>
      </c>
      <c r="E111" s="17"/>
      <c r="F111" s="17"/>
      <c r="G111" s="17"/>
      <c r="H111" s="17"/>
      <c r="I111" s="19"/>
      <c r="J111" s="23" t="str">
        <f>IF(AND(ISNUMBER(E111),ISNUMBER(F111)),IF(F111&gt;0,E111/F111,""),"")</f>
        <v/>
      </c>
      <c r="K111" s="23" t="str">
        <f>IF(AND(ISNUMBER(G111),ISNUMBER(H111)),IF(H111&gt;0,G111/H111,""),"")</f>
        <v/>
      </c>
      <c r="L111" s="24" t="str">
        <f>IF(AND(ISNUMBER(J111),ISNUMBER(K111)),IF(J111&gt;0,K111/J111,""),"")</f>
        <v/>
      </c>
    </row>
    <row r="112" spans="1:12" x14ac:dyDescent="0.25">
      <c r="A112" s="18"/>
      <c r="B112" s="21"/>
      <c r="C112" s="19"/>
      <c r="D112" s="23" t="str">
        <f>IF(B112="","",IFERROR(VLOOKUP(B112,Frentes!$A$5:$B$64,2,0),""))</f>
        <v/>
      </c>
      <c r="E112" s="17"/>
      <c r="F112" s="17"/>
      <c r="G112" s="17"/>
      <c r="H112" s="17"/>
      <c r="I112" s="19"/>
      <c r="J112" s="23" t="str">
        <f>IF(AND(ISNUMBER(E112),ISNUMBER(F112)),IF(F112&gt;0,E112/F112,""),"")</f>
        <v/>
      </c>
      <c r="K112" s="23" t="str">
        <f>IF(AND(ISNUMBER(G112),ISNUMBER(H112)),IF(H112&gt;0,G112/H112,""),"")</f>
        <v/>
      </c>
      <c r="L112" s="24" t="str">
        <f>IF(AND(ISNUMBER(J112),ISNUMBER(K112)),IF(J112&gt;0,K112/J112,""),"")</f>
        <v/>
      </c>
    </row>
    <row r="113" spans="1:12" x14ac:dyDescent="0.25">
      <c r="A113" s="18"/>
      <c r="B113" s="21"/>
      <c r="C113" s="19"/>
      <c r="D113" s="23" t="str">
        <f>IF(B113="","",IFERROR(VLOOKUP(B113,Frentes!$A$5:$B$64,2,0),""))</f>
        <v/>
      </c>
      <c r="E113" s="17"/>
      <c r="F113" s="17"/>
      <c r="G113" s="17"/>
      <c r="H113" s="17"/>
      <c r="I113" s="19"/>
      <c r="J113" s="23" t="str">
        <f>IF(AND(ISNUMBER(E113),ISNUMBER(F113)),IF(F113&gt;0,E113/F113,""),"")</f>
        <v/>
      </c>
      <c r="K113" s="23" t="str">
        <f>IF(AND(ISNUMBER(G113),ISNUMBER(H113)),IF(H113&gt;0,G113/H113,""),"")</f>
        <v/>
      </c>
      <c r="L113" s="24" t="str">
        <f>IF(AND(ISNUMBER(J113),ISNUMBER(K113)),IF(J113&gt;0,K113/J113,""),"")</f>
        <v/>
      </c>
    </row>
    <row r="114" spans="1:12" x14ac:dyDescent="0.25">
      <c r="A114" s="18"/>
      <c r="B114" s="21"/>
      <c r="C114" s="19"/>
      <c r="D114" s="23" t="str">
        <f>IF(B114="","",IFERROR(VLOOKUP(B114,Frentes!$A$5:$B$64,2,0),""))</f>
        <v/>
      </c>
      <c r="E114" s="17"/>
      <c r="F114" s="17"/>
      <c r="G114" s="17"/>
      <c r="H114" s="17"/>
      <c r="I114" s="19"/>
      <c r="J114" s="23" t="str">
        <f>IF(AND(ISNUMBER(E114),ISNUMBER(F114)),IF(F114&gt;0,E114/F114,""),"")</f>
        <v/>
      </c>
      <c r="K114" s="23" t="str">
        <f>IF(AND(ISNUMBER(G114),ISNUMBER(H114)),IF(H114&gt;0,G114/H114,""),"")</f>
        <v/>
      </c>
      <c r="L114" s="24" t="str">
        <f>IF(AND(ISNUMBER(J114),ISNUMBER(K114)),IF(J114&gt;0,K114/J114,""),"")</f>
        <v/>
      </c>
    </row>
    <row r="115" spans="1:12" x14ac:dyDescent="0.25">
      <c r="A115" s="18"/>
      <c r="B115" s="21"/>
      <c r="C115" s="19"/>
      <c r="D115" s="23" t="str">
        <f>IF(B115="","",IFERROR(VLOOKUP(B115,Frentes!$A$5:$B$64,2,0),""))</f>
        <v/>
      </c>
      <c r="E115" s="17"/>
      <c r="F115" s="17"/>
      <c r="G115" s="17"/>
      <c r="H115" s="17"/>
      <c r="I115" s="19"/>
      <c r="J115" s="23" t="str">
        <f>IF(AND(ISNUMBER(E115),ISNUMBER(F115)),IF(F115&gt;0,E115/F115,""),"")</f>
        <v/>
      </c>
      <c r="K115" s="23" t="str">
        <f>IF(AND(ISNUMBER(G115),ISNUMBER(H115)),IF(H115&gt;0,G115/H115,""),"")</f>
        <v/>
      </c>
      <c r="L115" s="24" t="str">
        <f>IF(AND(ISNUMBER(J115),ISNUMBER(K115)),IF(J115&gt;0,K115/J115,""),"")</f>
        <v/>
      </c>
    </row>
    <row r="116" spans="1:12" x14ac:dyDescent="0.25">
      <c r="A116" s="18"/>
      <c r="B116" s="21"/>
      <c r="C116" s="19"/>
      <c r="D116" s="23" t="str">
        <f>IF(B116="","",IFERROR(VLOOKUP(B116,Frentes!$A$5:$B$64,2,0),""))</f>
        <v/>
      </c>
      <c r="E116" s="17"/>
      <c r="F116" s="17"/>
      <c r="G116" s="17"/>
      <c r="H116" s="17"/>
      <c r="I116" s="19"/>
      <c r="J116" s="23" t="str">
        <f>IF(AND(ISNUMBER(E116),ISNUMBER(F116)),IF(F116&gt;0,E116/F116,""),"")</f>
        <v/>
      </c>
      <c r="K116" s="23" t="str">
        <f>IF(AND(ISNUMBER(G116),ISNUMBER(H116)),IF(H116&gt;0,G116/H116,""),"")</f>
        <v/>
      </c>
      <c r="L116" s="24" t="str">
        <f>IF(AND(ISNUMBER(J116),ISNUMBER(K116)),IF(J116&gt;0,K116/J116,""),"")</f>
        <v/>
      </c>
    </row>
    <row r="117" spans="1:12" x14ac:dyDescent="0.25">
      <c r="A117" s="18"/>
      <c r="B117" s="21"/>
      <c r="C117" s="19"/>
      <c r="D117" s="23" t="str">
        <f>IF(B117="","",IFERROR(VLOOKUP(B117,Frentes!$A$5:$B$64,2,0),""))</f>
        <v/>
      </c>
      <c r="E117" s="17"/>
      <c r="F117" s="17"/>
      <c r="G117" s="17"/>
      <c r="H117" s="17"/>
      <c r="I117" s="19"/>
      <c r="J117" s="23" t="str">
        <f>IF(AND(ISNUMBER(E117),ISNUMBER(F117)),IF(F117&gt;0,E117/F117,""),"")</f>
        <v/>
      </c>
      <c r="K117" s="23" t="str">
        <f>IF(AND(ISNUMBER(G117),ISNUMBER(H117)),IF(H117&gt;0,G117/H117,""),"")</f>
        <v/>
      </c>
      <c r="L117" s="24" t="str">
        <f>IF(AND(ISNUMBER(J117),ISNUMBER(K117)),IF(J117&gt;0,K117/J117,""),"")</f>
        <v/>
      </c>
    </row>
    <row r="118" spans="1:12" x14ac:dyDescent="0.25">
      <c r="A118" s="18"/>
      <c r="B118" s="21"/>
      <c r="C118" s="19"/>
      <c r="D118" s="23" t="str">
        <f>IF(B118="","",IFERROR(VLOOKUP(B118,Frentes!$A$5:$B$64,2,0),""))</f>
        <v/>
      </c>
      <c r="E118" s="17"/>
      <c r="F118" s="17"/>
      <c r="G118" s="17"/>
      <c r="H118" s="17"/>
      <c r="I118" s="19"/>
      <c r="J118" s="23" t="str">
        <f>IF(AND(ISNUMBER(E118),ISNUMBER(F118)),IF(F118&gt;0,E118/F118,""),"")</f>
        <v/>
      </c>
      <c r="K118" s="23" t="str">
        <f>IF(AND(ISNUMBER(G118),ISNUMBER(H118)),IF(H118&gt;0,G118/H118,""),"")</f>
        <v/>
      </c>
      <c r="L118" s="24" t="str">
        <f>IF(AND(ISNUMBER(J118),ISNUMBER(K118)),IF(J118&gt;0,K118/J118,""),"")</f>
        <v/>
      </c>
    </row>
    <row r="119" spans="1:12" x14ac:dyDescent="0.25">
      <c r="A119" s="18"/>
      <c r="B119" s="21"/>
      <c r="C119" s="19"/>
      <c r="D119" s="23" t="str">
        <f>IF(B119="","",IFERROR(VLOOKUP(B119,Frentes!$A$5:$B$64,2,0),""))</f>
        <v/>
      </c>
      <c r="E119" s="17"/>
      <c r="F119" s="17"/>
      <c r="G119" s="17"/>
      <c r="H119" s="17"/>
      <c r="I119" s="19"/>
      <c r="J119" s="23" t="str">
        <f>IF(AND(ISNUMBER(E119),ISNUMBER(F119)),IF(F119&gt;0,E119/F119,""),"")</f>
        <v/>
      </c>
      <c r="K119" s="23" t="str">
        <f>IF(AND(ISNUMBER(G119),ISNUMBER(H119)),IF(H119&gt;0,G119/H119,""),"")</f>
        <v/>
      </c>
      <c r="L119" s="24" t="str">
        <f>IF(AND(ISNUMBER(J119),ISNUMBER(K119)),IF(J119&gt;0,K119/J119,""),"")</f>
        <v/>
      </c>
    </row>
    <row r="120" spans="1:12" x14ac:dyDescent="0.25">
      <c r="A120" s="18"/>
      <c r="B120" s="21"/>
      <c r="C120" s="19"/>
      <c r="D120" s="23" t="str">
        <f>IF(B120="","",IFERROR(VLOOKUP(B120,Frentes!$A$5:$B$64,2,0),""))</f>
        <v/>
      </c>
      <c r="E120" s="17"/>
      <c r="F120" s="17"/>
      <c r="G120" s="17"/>
      <c r="H120" s="17"/>
      <c r="I120" s="19"/>
      <c r="J120" s="23" t="str">
        <f>IF(AND(ISNUMBER(E120),ISNUMBER(F120)),IF(F120&gt;0,E120/F120,""),"")</f>
        <v/>
      </c>
      <c r="K120" s="23" t="str">
        <f>IF(AND(ISNUMBER(G120),ISNUMBER(H120)),IF(H120&gt;0,G120/H120,""),"")</f>
        <v/>
      </c>
      <c r="L120" s="24" t="str">
        <f>IF(AND(ISNUMBER(J120),ISNUMBER(K120)),IF(J120&gt;0,K120/J120,""),"")</f>
        <v/>
      </c>
    </row>
    <row r="121" spans="1:12" x14ac:dyDescent="0.25">
      <c r="A121" s="18"/>
      <c r="B121" s="21"/>
      <c r="C121" s="19"/>
      <c r="D121" s="23" t="str">
        <f>IF(B121="","",IFERROR(VLOOKUP(B121,Frentes!$A$5:$B$64,2,0),""))</f>
        <v/>
      </c>
      <c r="E121" s="17"/>
      <c r="F121" s="17"/>
      <c r="G121" s="17"/>
      <c r="H121" s="17"/>
      <c r="I121" s="19"/>
      <c r="J121" s="23" t="str">
        <f>IF(AND(ISNUMBER(E121),ISNUMBER(F121)),IF(F121&gt;0,E121/F121,""),"")</f>
        <v/>
      </c>
      <c r="K121" s="23" t="str">
        <f>IF(AND(ISNUMBER(G121),ISNUMBER(H121)),IF(H121&gt;0,G121/H121,""),"")</f>
        <v/>
      </c>
      <c r="L121" s="24" t="str">
        <f>IF(AND(ISNUMBER(J121),ISNUMBER(K121)),IF(J121&gt;0,K121/J121,""),"")</f>
        <v/>
      </c>
    </row>
    <row r="122" spans="1:12" x14ac:dyDescent="0.25">
      <c r="A122" s="18"/>
      <c r="B122" s="21"/>
      <c r="C122" s="19"/>
      <c r="D122" s="23" t="str">
        <f>IF(B122="","",IFERROR(VLOOKUP(B122,Frentes!$A$5:$B$64,2,0),""))</f>
        <v/>
      </c>
      <c r="E122" s="17"/>
      <c r="F122" s="17"/>
      <c r="G122" s="17"/>
      <c r="H122" s="17"/>
      <c r="I122" s="19"/>
      <c r="J122" s="23" t="str">
        <f>IF(AND(ISNUMBER(E122),ISNUMBER(F122)),IF(F122&gt;0,E122/F122,""),"")</f>
        <v/>
      </c>
      <c r="K122" s="23" t="str">
        <f>IF(AND(ISNUMBER(G122),ISNUMBER(H122)),IF(H122&gt;0,G122/H122,""),"")</f>
        <v/>
      </c>
      <c r="L122" s="24" t="str">
        <f>IF(AND(ISNUMBER(J122),ISNUMBER(K122)),IF(J122&gt;0,K122/J122,""),"")</f>
        <v/>
      </c>
    </row>
    <row r="123" spans="1:12" x14ac:dyDescent="0.25">
      <c r="A123" s="18"/>
      <c r="B123" s="21"/>
      <c r="C123" s="19"/>
      <c r="D123" s="23" t="str">
        <f>IF(B123="","",IFERROR(VLOOKUP(B123,Frentes!$A$5:$B$64,2,0),""))</f>
        <v/>
      </c>
      <c r="E123" s="17"/>
      <c r="F123" s="17"/>
      <c r="G123" s="17"/>
      <c r="H123" s="17"/>
      <c r="I123" s="19"/>
      <c r="J123" s="23" t="str">
        <f>IF(AND(ISNUMBER(E123),ISNUMBER(F123)),IF(F123&gt;0,E123/F123,""),"")</f>
        <v/>
      </c>
      <c r="K123" s="23" t="str">
        <f>IF(AND(ISNUMBER(G123),ISNUMBER(H123)),IF(H123&gt;0,G123/H123,""),"")</f>
        <v/>
      </c>
      <c r="L123" s="24" t="str">
        <f>IF(AND(ISNUMBER(J123),ISNUMBER(K123)),IF(J123&gt;0,K123/J123,""),"")</f>
        <v/>
      </c>
    </row>
    <row r="124" spans="1:12" x14ac:dyDescent="0.25">
      <c r="A124" s="18"/>
      <c r="B124" s="21"/>
      <c r="C124" s="19"/>
      <c r="D124" s="23" t="str">
        <f>IF(B124="","",IFERROR(VLOOKUP(B124,Frentes!$A$5:$B$64,2,0),""))</f>
        <v/>
      </c>
      <c r="E124" s="17"/>
      <c r="F124" s="17"/>
      <c r="G124" s="17"/>
      <c r="H124" s="17"/>
      <c r="I124" s="19"/>
      <c r="J124" s="23" t="str">
        <f>IF(AND(ISNUMBER(E124),ISNUMBER(F124)),IF(F124&gt;0,E124/F124,""),"")</f>
        <v/>
      </c>
      <c r="K124" s="23" t="str">
        <f>IF(AND(ISNUMBER(G124),ISNUMBER(H124)),IF(H124&gt;0,G124/H124,""),"")</f>
        <v/>
      </c>
      <c r="L124" s="24" t="str">
        <f>IF(AND(ISNUMBER(J124),ISNUMBER(K124)),IF(J124&gt;0,K124/J124,""),"")</f>
        <v/>
      </c>
    </row>
    <row r="125" spans="1:12" x14ac:dyDescent="0.25">
      <c r="A125" s="18"/>
      <c r="B125" s="21"/>
      <c r="C125" s="19"/>
      <c r="D125" s="23" t="str">
        <f>IF(B125="","",IFERROR(VLOOKUP(B125,Frentes!$A$5:$B$64,2,0),""))</f>
        <v/>
      </c>
      <c r="E125" s="17"/>
      <c r="F125" s="17"/>
      <c r="G125" s="17"/>
      <c r="H125" s="17"/>
      <c r="I125" s="19"/>
      <c r="J125" s="23" t="str">
        <f>IF(AND(ISNUMBER(E125),ISNUMBER(F125)),IF(F125&gt;0,E125/F125,""),"")</f>
        <v/>
      </c>
      <c r="K125" s="23" t="str">
        <f>IF(AND(ISNUMBER(G125),ISNUMBER(H125)),IF(H125&gt;0,G125/H125,""),"")</f>
        <v/>
      </c>
      <c r="L125" s="24" t="str">
        <f>IF(AND(ISNUMBER(J125),ISNUMBER(K125)),IF(J125&gt;0,K125/J125,""),"")</f>
        <v/>
      </c>
    </row>
    <row r="126" spans="1:12" x14ac:dyDescent="0.25">
      <c r="A126" s="18"/>
      <c r="B126" s="21"/>
      <c r="C126" s="19"/>
      <c r="D126" s="23" t="str">
        <f>IF(B126="","",IFERROR(VLOOKUP(B126,Frentes!$A$5:$B$64,2,0),""))</f>
        <v/>
      </c>
      <c r="E126" s="17"/>
      <c r="F126" s="17"/>
      <c r="G126" s="17"/>
      <c r="H126" s="17"/>
      <c r="I126" s="19"/>
      <c r="J126" s="23" t="str">
        <f>IF(AND(ISNUMBER(E126),ISNUMBER(F126)),IF(F126&gt;0,E126/F126,""),"")</f>
        <v/>
      </c>
      <c r="K126" s="23" t="str">
        <f>IF(AND(ISNUMBER(G126),ISNUMBER(H126)),IF(H126&gt;0,G126/H126,""),"")</f>
        <v/>
      </c>
      <c r="L126" s="24" t="str">
        <f>IF(AND(ISNUMBER(J126),ISNUMBER(K126)),IF(J126&gt;0,K126/J126,""),"")</f>
        <v/>
      </c>
    </row>
    <row r="127" spans="1:12" x14ac:dyDescent="0.25">
      <c r="A127" s="18"/>
      <c r="B127" s="21"/>
      <c r="C127" s="19"/>
      <c r="D127" s="23" t="str">
        <f>IF(B127="","",IFERROR(VLOOKUP(B127,Frentes!$A$5:$B$64,2,0),""))</f>
        <v/>
      </c>
      <c r="E127" s="17"/>
      <c r="F127" s="17"/>
      <c r="G127" s="17"/>
      <c r="H127" s="17"/>
      <c r="I127" s="19"/>
      <c r="J127" s="23" t="str">
        <f>IF(AND(ISNUMBER(E127),ISNUMBER(F127)),IF(F127&gt;0,E127/F127,""),"")</f>
        <v/>
      </c>
      <c r="K127" s="23" t="str">
        <f>IF(AND(ISNUMBER(G127),ISNUMBER(H127)),IF(H127&gt;0,G127/H127,""),"")</f>
        <v/>
      </c>
      <c r="L127" s="24" t="str">
        <f>IF(AND(ISNUMBER(J127),ISNUMBER(K127)),IF(J127&gt;0,K127/J127,""),"")</f>
        <v/>
      </c>
    </row>
    <row r="128" spans="1:12" x14ac:dyDescent="0.25">
      <c r="A128" s="18"/>
      <c r="B128" s="21"/>
      <c r="C128" s="19"/>
      <c r="D128" s="23" t="str">
        <f>IF(B128="","",IFERROR(VLOOKUP(B128,Frentes!$A$5:$B$64,2,0),""))</f>
        <v/>
      </c>
      <c r="E128" s="17"/>
      <c r="F128" s="17"/>
      <c r="G128" s="17"/>
      <c r="H128" s="17"/>
      <c r="I128" s="19"/>
      <c r="J128" s="23" t="str">
        <f>IF(AND(ISNUMBER(E128),ISNUMBER(F128)),IF(F128&gt;0,E128/F128,""),"")</f>
        <v/>
      </c>
      <c r="K128" s="23" t="str">
        <f>IF(AND(ISNUMBER(G128),ISNUMBER(H128)),IF(H128&gt;0,G128/H128,""),"")</f>
        <v/>
      </c>
      <c r="L128" s="24" t="str">
        <f>IF(AND(ISNUMBER(J128),ISNUMBER(K128)),IF(J128&gt;0,K128/J128,""),"")</f>
        <v/>
      </c>
    </row>
    <row r="129" spans="1:12" x14ac:dyDescent="0.25">
      <c r="A129" s="18"/>
      <c r="B129" s="21"/>
      <c r="C129" s="19"/>
      <c r="D129" s="23" t="str">
        <f>IF(B129="","",IFERROR(VLOOKUP(B129,Frentes!$A$5:$B$64,2,0),""))</f>
        <v/>
      </c>
      <c r="E129" s="17"/>
      <c r="F129" s="17"/>
      <c r="G129" s="17"/>
      <c r="H129" s="17"/>
      <c r="I129" s="19"/>
      <c r="J129" s="23" t="str">
        <f>IF(AND(ISNUMBER(E129),ISNUMBER(F129)),IF(F129&gt;0,E129/F129,""),"")</f>
        <v/>
      </c>
      <c r="K129" s="23" t="str">
        <f>IF(AND(ISNUMBER(G129),ISNUMBER(H129)),IF(H129&gt;0,G129/H129,""),"")</f>
        <v/>
      </c>
      <c r="L129" s="24" t="str">
        <f>IF(AND(ISNUMBER(J129),ISNUMBER(K129)),IF(J129&gt;0,K129/J129,""),"")</f>
        <v/>
      </c>
    </row>
    <row r="130" spans="1:12" x14ac:dyDescent="0.25">
      <c r="A130" s="18"/>
      <c r="B130" s="21"/>
      <c r="C130" s="19"/>
      <c r="D130" s="23" t="str">
        <f>IF(B130="","",IFERROR(VLOOKUP(B130,Frentes!$A$5:$B$64,2,0),""))</f>
        <v/>
      </c>
      <c r="E130" s="17"/>
      <c r="F130" s="17"/>
      <c r="G130" s="17"/>
      <c r="H130" s="17"/>
      <c r="I130" s="19"/>
      <c r="J130" s="23" t="str">
        <f>IF(AND(ISNUMBER(E130),ISNUMBER(F130)),IF(F130&gt;0,E130/F130,""),"")</f>
        <v/>
      </c>
      <c r="K130" s="23" t="str">
        <f>IF(AND(ISNUMBER(G130),ISNUMBER(H130)),IF(H130&gt;0,G130/H130,""),"")</f>
        <v/>
      </c>
      <c r="L130" s="24" t="str">
        <f>IF(AND(ISNUMBER(J130),ISNUMBER(K130)),IF(J130&gt;0,K130/J130,""),"")</f>
        <v/>
      </c>
    </row>
    <row r="131" spans="1:12" x14ac:dyDescent="0.25">
      <c r="A131" s="18"/>
      <c r="B131" s="21"/>
      <c r="C131" s="19"/>
      <c r="D131" s="23" t="str">
        <f>IF(B131="","",IFERROR(VLOOKUP(B131,Frentes!$A$5:$B$64,2,0),""))</f>
        <v/>
      </c>
      <c r="E131" s="17"/>
      <c r="F131" s="17"/>
      <c r="G131" s="17"/>
      <c r="H131" s="17"/>
      <c r="I131" s="19"/>
      <c r="J131" s="23" t="str">
        <f>IF(AND(ISNUMBER(E131),ISNUMBER(F131)),IF(F131&gt;0,E131/F131,""),"")</f>
        <v/>
      </c>
      <c r="K131" s="23" t="str">
        <f>IF(AND(ISNUMBER(G131),ISNUMBER(H131)),IF(H131&gt;0,G131/H131,""),"")</f>
        <v/>
      </c>
      <c r="L131" s="24" t="str">
        <f>IF(AND(ISNUMBER(J131),ISNUMBER(K131)),IF(J131&gt;0,K131/J131,""),"")</f>
        <v/>
      </c>
    </row>
    <row r="132" spans="1:12" x14ac:dyDescent="0.25">
      <c r="A132" s="18"/>
      <c r="B132" s="21"/>
      <c r="C132" s="19"/>
      <c r="D132" s="23" t="str">
        <f>IF(B132="","",IFERROR(VLOOKUP(B132,Frentes!$A$5:$B$64,2,0),""))</f>
        <v/>
      </c>
      <c r="E132" s="17"/>
      <c r="F132" s="17"/>
      <c r="G132" s="17"/>
      <c r="H132" s="17"/>
      <c r="I132" s="19"/>
      <c r="J132" s="23" t="str">
        <f>IF(AND(ISNUMBER(E132),ISNUMBER(F132)),IF(F132&gt;0,E132/F132,""),"")</f>
        <v/>
      </c>
      <c r="K132" s="23" t="str">
        <f>IF(AND(ISNUMBER(G132),ISNUMBER(H132)),IF(H132&gt;0,G132/H132,""),"")</f>
        <v/>
      </c>
      <c r="L132" s="24" t="str">
        <f>IF(AND(ISNUMBER(J132),ISNUMBER(K132)),IF(J132&gt;0,K132/J132,""),"")</f>
        <v/>
      </c>
    </row>
    <row r="133" spans="1:12" x14ac:dyDescent="0.25">
      <c r="A133" s="18"/>
      <c r="B133" s="21"/>
      <c r="C133" s="19"/>
      <c r="D133" s="23" t="str">
        <f>IF(B133="","",IFERROR(VLOOKUP(B133,Frentes!$A$5:$B$64,2,0),""))</f>
        <v/>
      </c>
      <c r="E133" s="17"/>
      <c r="F133" s="17"/>
      <c r="G133" s="17"/>
      <c r="H133" s="17"/>
      <c r="I133" s="19"/>
      <c r="J133" s="23" t="str">
        <f>IF(AND(ISNUMBER(E133),ISNUMBER(F133)),IF(F133&gt;0,E133/F133,""),"")</f>
        <v/>
      </c>
      <c r="K133" s="23" t="str">
        <f>IF(AND(ISNUMBER(G133),ISNUMBER(H133)),IF(H133&gt;0,G133/H133,""),"")</f>
        <v/>
      </c>
      <c r="L133" s="24" t="str">
        <f>IF(AND(ISNUMBER(J133),ISNUMBER(K133)),IF(J133&gt;0,K133/J133,""),"")</f>
        <v/>
      </c>
    </row>
    <row r="134" spans="1:12" x14ac:dyDescent="0.25">
      <c r="A134" s="18"/>
      <c r="B134" s="21"/>
      <c r="C134" s="19"/>
      <c r="D134" s="23" t="str">
        <f>IF(B134="","",IFERROR(VLOOKUP(B134,Frentes!$A$5:$B$64,2,0),""))</f>
        <v/>
      </c>
      <c r="E134" s="17"/>
      <c r="F134" s="17"/>
      <c r="G134" s="17"/>
      <c r="H134" s="17"/>
      <c r="I134" s="19"/>
      <c r="J134" s="23" t="str">
        <f>IF(AND(ISNUMBER(E134),ISNUMBER(F134)),IF(F134&gt;0,E134/F134,""),"")</f>
        <v/>
      </c>
      <c r="K134" s="23" t="str">
        <f>IF(AND(ISNUMBER(G134),ISNUMBER(H134)),IF(H134&gt;0,G134/H134,""),"")</f>
        <v/>
      </c>
      <c r="L134" s="24" t="str">
        <f>IF(AND(ISNUMBER(J134),ISNUMBER(K134)),IF(J134&gt;0,K134/J134,""),"")</f>
        <v/>
      </c>
    </row>
    <row r="135" spans="1:12" x14ac:dyDescent="0.25">
      <c r="A135" s="18"/>
      <c r="B135" s="21"/>
      <c r="C135" s="19"/>
      <c r="D135" s="23" t="str">
        <f>IF(B135="","",IFERROR(VLOOKUP(B135,Frentes!$A$5:$B$64,2,0),""))</f>
        <v/>
      </c>
      <c r="E135" s="17"/>
      <c r="F135" s="17"/>
      <c r="G135" s="17"/>
      <c r="H135" s="17"/>
      <c r="I135" s="19"/>
      <c r="J135" s="23" t="str">
        <f>IF(AND(ISNUMBER(E135),ISNUMBER(F135)),IF(F135&gt;0,E135/F135,""),"")</f>
        <v/>
      </c>
      <c r="K135" s="23" t="str">
        <f>IF(AND(ISNUMBER(G135),ISNUMBER(H135)),IF(H135&gt;0,G135/H135,""),"")</f>
        <v/>
      </c>
      <c r="L135" s="24" t="str">
        <f>IF(AND(ISNUMBER(J135),ISNUMBER(K135)),IF(J135&gt;0,K135/J135,""),"")</f>
        <v/>
      </c>
    </row>
    <row r="136" spans="1:12" x14ac:dyDescent="0.25">
      <c r="A136" s="18"/>
      <c r="B136" s="21"/>
      <c r="C136" s="19"/>
      <c r="D136" s="23" t="str">
        <f>IF(B136="","",IFERROR(VLOOKUP(B136,Frentes!$A$5:$B$64,2,0),""))</f>
        <v/>
      </c>
      <c r="E136" s="17"/>
      <c r="F136" s="17"/>
      <c r="G136" s="17"/>
      <c r="H136" s="17"/>
      <c r="I136" s="19"/>
      <c r="J136" s="23" t="str">
        <f>IF(AND(ISNUMBER(E136),ISNUMBER(F136)),IF(F136&gt;0,E136/F136,""),"")</f>
        <v/>
      </c>
      <c r="K136" s="23" t="str">
        <f>IF(AND(ISNUMBER(G136),ISNUMBER(H136)),IF(H136&gt;0,G136/H136,""),"")</f>
        <v/>
      </c>
      <c r="L136" s="24" t="str">
        <f>IF(AND(ISNUMBER(J136),ISNUMBER(K136)),IF(J136&gt;0,K136/J136,""),"")</f>
        <v/>
      </c>
    </row>
    <row r="137" spans="1:12" x14ac:dyDescent="0.25">
      <c r="A137" s="18"/>
      <c r="B137" s="21"/>
      <c r="C137" s="19"/>
      <c r="D137" s="23" t="str">
        <f>IF(B137="","",IFERROR(VLOOKUP(B137,Frentes!$A$5:$B$64,2,0),""))</f>
        <v/>
      </c>
      <c r="E137" s="17"/>
      <c r="F137" s="17"/>
      <c r="G137" s="17"/>
      <c r="H137" s="17"/>
      <c r="I137" s="19"/>
      <c r="J137" s="23" t="str">
        <f>IF(AND(ISNUMBER(E137),ISNUMBER(F137)),IF(F137&gt;0,E137/F137,""),"")</f>
        <v/>
      </c>
      <c r="K137" s="23" t="str">
        <f>IF(AND(ISNUMBER(G137),ISNUMBER(H137)),IF(H137&gt;0,G137/H137,""),"")</f>
        <v/>
      </c>
      <c r="L137" s="24" t="str">
        <f>IF(AND(ISNUMBER(J137),ISNUMBER(K137)),IF(J137&gt;0,K137/J137,""),"")</f>
        <v/>
      </c>
    </row>
    <row r="138" spans="1:12" x14ac:dyDescent="0.25">
      <c r="A138" s="18"/>
      <c r="B138" s="21"/>
      <c r="C138" s="19"/>
      <c r="D138" s="23" t="str">
        <f>IF(B138="","",IFERROR(VLOOKUP(B138,Frentes!$A$5:$B$64,2,0),""))</f>
        <v/>
      </c>
      <c r="E138" s="17"/>
      <c r="F138" s="17"/>
      <c r="G138" s="17"/>
      <c r="H138" s="17"/>
      <c r="I138" s="19"/>
      <c r="J138" s="23" t="str">
        <f>IF(AND(ISNUMBER(E138),ISNUMBER(F138)),IF(F138&gt;0,E138/F138,""),"")</f>
        <v/>
      </c>
      <c r="K138" s="23" t="str">
        <f>IF(AND(ISNUMBER(G138),ISNUMBER(H138)),IF(H138&gt;0,G138/H138,""),"")</f>
        <v/>
      </c>
      <c r="L138" s="24" t="str">
        <f>IF(AND(ISNUMBER(J138),ISNUMBER(K138)),IF(J138&gt;0,K138/J138,""),"")</f>
        <v/>
      </c>
    </row>
    <row r="139" spans="1:12" x14ac:dyDescent="0.25">
      <c r="A139" s="18"/>
      <c r="B139" s="21"/>
      <c r="C139" s="19"/>
      <c r="D139" s="23" t="str">
        <f>IF(B139="","",IFERROR(VLOOKUP(B139,Frentes!$A$5:$B$64,2,0),""))</f>
        <v/>
      </c>
      <c r="E139" s="17"/>
      <c r="F139" s="17"/>
      <c r="G139" s="17"/>
      <c r="H139" s="17"/>
      <c r="I139" s="19"/>
      <c r="J139" s="23" t="str">
        <f>IF(AND(ISNUMBER(E139),ISNUMBER(F139)),IF(F139&gt;0,E139/F139,""),"")</f>
        <v/>
      </c>
      <c r="K139" s="23" t="str">
        <f>IF(AND(ISNUMBER(G139),ISNUMBER(H139)),IF(H139&gt;0,G139/H139,""),"")</f>
        <v/>
      </c>
      <c r="L139" s="24" t="str">
        <f>IF(AND(ISNUMBER(J139),ISNUMBER(K139)),IF(J139&gt;0,K139/J139,""),"")</f>
        <v/>
      </c>
    </row>
    <row r="140" spans="1:12" x14ac:dyDescent="0.25">
      <c r="A140" s="18"/>
      <c r="B140" s="21"/>
      <c r="C140" s="19"/>
      <c r="D140" s="23" t="str">
        <f>IF(B140="","",IFERROR(VLOOKUP(B140,Frentes!$A$5:$B$64,2,0),""))</f>
        <v/>
      </c>
      <c r="E140" s="17"/>
      <c r="F140" s="17"/>
      <c r="G140" s="17"/>
      <c r="H140" s="17"/>
      <c r="I140" s="19"/>
      <c r="J140" s="23" t="str">
        <f>IF(AND(ISNUMBER(E140),ISNUMBER(F140)),IF(F140&gt;0,E140/F140,""),"")</f>
        <v/>
      </c>
      <c r="K140" s="23" t="str">
        <f>IF(AND(ISNUMBER(G140),ISNUMBER(H140)),IF(H140&gt;0,G140/H140,""),"")</f>
        <v/>
      </c>
      <c r="L140" s="24" t="str">
        <f>IF(AND(ISNUMBER(J140),ISNUMBER(K140)),IF(J140&gt;0,K140/J140,""),"")</f>
        <v/>
      </c>
    </row>
    <row r="141" spans="1:12" x14ac:dyDescent="0.25">
      <c r="A141" s="18"/>
      <c r="B141" s="21"/>
      <c r="C141" s="19"/>
      <c r="D141" s="23" t="str">
        <f>IF(B141="","",IFERROR(VLOOKUP(B141,Frentes!$A$5:$B$64,2,0),""))</f>
        <v/>
      </c>
      <c r="E141" s="17"/>
      <c r="F141" s="17"/>
      <c r="G141" s="17"/>
      <c r="H141" s="17"/>
      <c r="I141" s="19"/>
      <c r="J141" s="23" t="str">
        <f>IF(AND(ISNUMBER(E141),ISNUMBER(F141)),IF(F141&gt;0,E141/F141,""),"")</f>
        <v/>
      </c>
      <c r="K141" s="23" t="str">
        <f>IF(AND(ISNUMBER(G141),ISNUMBER(H141)),IF(H141&gt;0,G141/H141,""),"")</f>
        <v/>
      </c>
      <c r="L141" s="24" t="str">
        <f>IF(AND(ISNUMBER(J141),ISNUMBER(K141)),IF(J141&gt;0,K141/J141,""),"")</f>
        <v/>
      </c>
    </row>
    <row r="142" spans="1:12" x14ac:dyDescent="0.25">
      <c r="A142" s="18"/>
      <c r="B142" s="21"/>
      <c r="C142" s="19"/>
      <c r="D142" s="23" t="str">
        <f>IF(B142="","",IFERROR(VLOOKUP(B142,Frentes!$A$5:$B$64,2,0),""))</f>
        <v/>
      </c>
      <c r="E142" s="17"/>
      <c r="F142" s="17"/>
      <c r="G142" s="17"/>
      <c r="H142" s="17"/>
      <c r="I142" s="19"/>
      <c r="J142" s="23" t="str">
        <f>IF(AND(ISNUMBER(E142),ISNUMBER(F142)),IF(F142&gt;0,E142/F142,""),"")</f>
        <v/>
      </c>
      <c r="K142" s="23" t="str">
        <f>IF(AND(ISNUMBER(G142),ISNUMBER(H142)),IF(H142&gt;0,G142/H142,""),"")</f>
        <v/>
      </c>
      <c r="L142" s="24" t="str">
        <f>IF(AND(ISNUMBER(J142),ISNUMBER(K142)),IF(J142&gt;0,K142/J142,""),"")</f>
        <v/>
      </c>
    </row>
    <row r="143" spans="1:12" x14ac:dyDescent="0.25">
      <c r="A143" s="18"/>
      <c r="B143" s="21"/>
      <c r="C143" s="19"/>
      <c r="D143" s="23" t="str">
        <f>IF(B143="","",IFERROR(VLOOKUP(B143,Frentes!$A$5:$B$64,2,0),""))</f>
        <v/>
      </c>
      <c r="E143" s="17"/>
      <c r="F143" s="17"/>
      <c r="G143" s="17"/>
      <c r="H143" s="17"/>
      <c r="I143" s="19"/>
      <c r="J143" s="23" t="str">
        <f>IF(AND(ISNUMBER(E143),ISNUMBER(F143)),IF(F143&gt;0,E143/F143,""),"")</f>
        <v/>
      </c>
      <c r="K143" s="23" t="str">
        <f>IF(AND(ISNUMBER(G143),ISNUMBER(H143)),IF(H143&gt;0,G143/H143,""),"")</f>
        <v/>
      </c>
      <c r="L143" s="24" t="str">
        <f>IF(AND(ISNUMBER(J143),ISNUMBER(K143)),IF(J143&gt;0,K143/J143,""),"")</f>
        <v/>
      </c>
    </row>
    <row r="144" spans="1:12" x14ac:dyDescent="0.25">
      <c r="A144" s="18"/>
      <c r="B144" s="21"/>
      <c r="C144" s="19"/>
      <c r="D144" s="23" t="str">
        <f>IF(B144="","",IFERROR(VLOOKUP(B144,Frentes!$A$5:$B$64,2,0),""))</f>
        <v/>
      </c>
      <c r="E144" s="17"/>
      <c r="F144" s="17"/>
      <c r="G144" s="17"/>
      <c r="H144" s="17"/>
      <c r="I144" s="19"/>
      <c r="J144" s="23" t="str">
        <f>IF(AND(ISNUMBER(E144),ISNUMBER(F144)),IF(F144&gt;0,E144/F144,""),"")</f>
        <v/>
      </c>
      <c r="K144" s="23" t="str">
        <f>IF(AND(ISNUMBER(G144),ISNUMBER(H144)),IF(H144&gt;0,G144/H144,""),"")</f>
        <v/>
      </c>
      <c r="L144" s="24" t="str">
        <f>IF(AND(ISNUMBER(J144),ISNUMBER(K144)),IF(J144&gt;0,K144/J144,""),"")</f>
        <v/>
      </c>
    </row>
    <row r="145" spans="1:12" x14ac:dyDescent="0.25">
      <c r="A145" s="18"/>
      <c r="B145" s="21"/>
      <c r="C145" s="19"/>
      <c r="D145" s="23" t="str">
        <f>IF(B145="","",IFERROR(VLOOKUP(B145,Frentes!$A$5:$B$64,2,0),""))</f>
        <v/>
      </c>
      <c r="E145" s="17"/>
      <c r="F145" s="17"/>
      <c r="G145" s="17"/>
      <c r="H145" s="17"/>
      <c r="I145" s="19"/>
      <c r="J145" s="23" t="str">
        <f>IF(AND(ISNUMBER(E145),ISNUMBER(F145)),IF(F145&gt;0,E145/F145,""),"")</f>
        <v/>
      </c>
      <c r="K145" s="23" t="str">
        <f>IF(AND(ISNUMBER(G145),ISNUMBER(H145)),IF(H145&gt;0,G145/H145,""),"")</f>
        <v/>
      </c>
      <c r="L145" s="24" t="str">
        <f>IF(AND(ISNUMBER(J145),ISNUMBER(K145)),IF(J145&gt;0,K145/J145,""),"")</f>
        <v/>
      </c>
    </row>
    <row r="146" spans="1:12" x14ac:dyDescent="0.25">
      <c r="A146" s="18"/>
      <c r="B146" s="21"/>
      <c r="C146" s="19"/>
      <c r="D146" s="23" t="str">
        <f>IF(B146="","",IFERROR(VLOOKUP(B146,Frentes!$A$5:$B$64,2,0),""))</f>
        <v/>
      </c>
      <c r="E146" s="17"/>
      <c r="F146" s="17"/>
      <c r="G146" s="17"/>
      <c r="H146" s="17"/>
      <c r="I146" s="19"/>
      <c r="J146" s="23" t="str">
        <f>IF(AND(ISNUMBER(E146),ISNUMBER(F146)),IF(F146&gt;0,E146/F146,""),"")</f>
        <v/>
      </c>
      <c r="K146" s="23" t="str">
        <f>IF(AND(ISNUMBER(G146),ISNUMBER(H146)),IF(H146&gt;0,G146/H146,""),"")</f>
        <v/>
      </c>
      <c r="L146" s="24" t="str">
        <f>IF(AND(ISNUMBER(J146),ISNUMBER(K146)),IF(J146&gt;0,K146/J146,""),"")</f>
        <v/>
      </c>
    </row>
    <row r="147" spans="1:12" x14ac:dyDescent="0.25">
      <c r="A147" s="18"/>
      <c r="B147" s="21"/>
      <c r="C147" s="19"/>
      <c r="D147" s="23" t="str">
        <f>IF(B147="","",IFERROR(VLOOKUP(B147,Frentes!$A$5:$B$64,2,0),""))</f>
        <v/>
      </c>
      <c r="E147" s="17"/>
      <c r="F147" s="17"/>
      <c r="G147" s="17"/>
      <c r="H147" s="17"/>
      <c r="I147" s="19"/>
      <c r="J147" s="23" t="str">
        <f>IF(AND(ISNUMBER(E147),ISNUMBER(F147)),IF(F147&gt;0,E147/F147,""),"")</f>
        <v/>
      </c>
      <c r="K147" s="23" t="str">
        <f>IF(AND(ISNUMBER(G147),ISNUMBER(H147)),IF(H147&gt;0,G147/H147,""),"")</f>
        <v/>
      </c>
      <c r="L147" s="24" t="str">
        <f>IF(AND(ISNUMBER(J147),ISNUMBER(K147)),IF(J147&gt;0,K147/J147,""),"")</f>
        <v/>
      </c>
    </row>
    <row r="148" spans="1:12" x14ac:dyDescent="0.25">
      <c r="A148" s="18"/>
      <c r="B148" s="21"/>
      <c r="C148" s="19"/>
      <c r="D148" s="23" t="str">
        <f>IF(B148="","",IFERROR(VLOOKUP(B148,Frentes!$A$5:$B$64,2,0),""))</f>
        <v/>
      </c>
      <c r="E148" s="17"/>
      <c r="F148" s="17"/>
      <c r="G148" s="17"/>
      <c r="H148" s="17"/>
      <c r="I148" s="19"/>
      <c r="J148" s="23" t="str">
        <f>IF(AND(ISNUMBER(E148),ISNUMBER(F148)),IF(F148&gt;0,E148/F148,""),"")</f>
        <v/>
      </c>
      <c r="K148" s="23" t="str">
        <f>IF(AND(ISNUMBER(G148),ISNUMBER(H148)),IF(H148&gt;0,G148/H148,""),"")</f>
        <v/>
      </c>
      <c r="L148" s="24" t="str">
        <f>IF(AND(ISNUMBER(J148),ISNUMBER(K148)),IF(J148&gt;0,K148/J148,""),"")</f>
        <v/>
      </c>
    </row>
    <row r="149" spans="1:12" x14ac:dyDescent="0.25">
      <c r="A149" s="18"/>
      <c r="B149" s="21"/>
      <c r="C149" s="19"/>
      <c r="D149" s="23" t="str">
        <f>IF(B149="","",IFERROR(VLOOKUP(B149,Frentes!$A$5:$B$64,2,0),""))</f>
        <v/>
      </c>
      <c r="E149" s="17"/>
      <c r="F149" s="17"/>
      <c r="G149" s="17"/>
      <c r="H149" s="17"/>
      <c r="I149" s="19"/>
      <c r="J149" s="23" t="str">
        <f>IF(AND(ISNUMBER(E149),ISNUMBER(F149)),IF(F149&gt;0,E149/F149,""),"")</f>
        <v/>
      </c>
      <c r="K149" s="23" t="str">
        <f>IF(AND(ISNUMBER(G149),ISNUMBER(H149)),IF(H149&gt;0,G149/H149,""),"")</f>
        <v/>
      </c>
      <c r="L149" s="24" t="str">
        <f>IF(AND(ISNUMBER(J149),ISNUMBER(K149)),IF(J149&gt;0,K149/J149,""),"")</f>
        <v/>
      </c>
    </row>
    <row r="150" spans="1:12" x14ac:dyDescent="0.25">
      <c r="A150" s="18"/>
      <c r="B150" s="21"/>
      <c r="C150" s="19"/>
      <c r="D150" s="23" t="str">
        <f>IF(B150="","",IFERROR(VLOOKUP(B150,Frentes!$A$5:$B$64,2,0),""))</f>
        <v/>
      </c>
      <c r="E150" s="17"/>
      <c r="F150" s="17"/>
      <c r="G150" s="17"/>
      <c r="H150" s="17"/>
      <c r="I150" s="19"/>
      <c r="J150" s="23" t="str">
        <f>IF(AND(ISNUMBER(E150),ISNUMBER(F150)),IF(F150&gt;0,E150/F150,""),"")</f>
        <v/>
      </c>
      <c r="K150" s="23" t="str">
        <f>IF(AND(ISNUMBER(G150),ISNUMBER(H150)),IF(H150&gt;0,G150/H150,""),"")</f>
        <v/>
      </c>
      <c r="L150" s="24" t="str">
        <f>IF(AND(ISNUMBER(J150),ISNUMBER(K150)),IF(J150&gt;0,K150/J150,""),"")</f>
        <v/>
      </c>
    </row>
    <row r="151" spans="1:12" x14ac:dyDescent="0.25">
      <c r="A151" s="18"/>
      <c r="B151" s="21"/>
      <c r="C151" s="19"/>
      <c r="D151" s="23" t="str">
        <f>IF(B151="","",IFERROR(VLOOKUP(B151,Frentes!$A$5:$B$64,2,0),""))</f>
        <v/>
      </c>
      <c r="E151" s="17"/>
      <c r="F151" s="17"/>
      <c r="G151" s="17"/>
      <c r="H151" s="17"/>
      <c r="I151" s="19"/>
      <c r="J151" s="23" t="str">
        <f>IF(AND(ISNUMBER(E151),ISNUMBER(F151)),IF(F151&gt;0,E151/F151,""),"")</f>
        <v/>
      </c>
      <c r="K151" s="23" t="str">
        <f>IF(AND(ISNUMBER(G151),ISNUMBER(H151)),IF(H151&gt;0,G151/H151,""),"")</f>
        <v/>
      </c>
      <c r="L151" s="24" t="str">
        <f>IF(AND(ISNUMBER(J151),ISNUMBER(K151)),IF(J151&gt;0,K151/J151,""),"")</f>
        <v/>
      </c>
    </row>
    <row r="152" spans="1:12" x14ac:dyDescent="0.25">
      <c r="A152" s="18"/>
      <c r="B152" s="21"/>
      <c r="C152" s="19"/>
      <c r="D152" s="23" t="str">
        <f>IF(B152="","",IFERROR(VLOOKUP(B152,Frentes!$A$5:$B$64,2,0),""))</f>
        <v/>
      </c>
      <c r="E152" s="17"/>
      <c r="F152" s="17"/>
      <c r="G152" s="17"/>
      <c r="H152" s="17"/>
      <c r="I152" s="19"/>
      <c r="J152" s="23" t="str">
        <f>IF(AND(ISNUMBER(E152),ISNUMBER(F152)),IF(F152&gt;0,E152/F152,""),"")</f>
        <v/>
      </c>
      <c r="K152" s="23" t="str">
        <f>IF(AND(ISNUMBER(G152),ISNUMBER(H152)),IF(H152&gt;0,G152/H152,""),"")</f>
        <v/>
      </c>
      <c r="L152" s="24" t="str">
        <f>IF(AND(ISNUMBER(J152),ISNUMBER(K152)),IF(J152&gt;0,K152/J152,""),"")</f>
        <v/>
      </c>
    </row>
    <row r="153" spans="1:12" x14ac:dyDescent="0.25">
      <c r="A153" s="18"/>
      <c r="B153" s="21"/>
      <c r="C153" s="19"/>
      <c r="D153" s="23" t="str">
        <f>IF(B153="","",IFERROR(VLOOKUP(B153,Frentes!$A$5:$B$64,2,0),""))</f>
        <v/>
      </c>
      <c r="E153" s="17"/>
      <c r="F153" s="17"/>
      <c r="G153" s="17"/>
      <c r="H153" s="17"/>
      <c r="I153" s="19"/>
      <c r="J153" s="23" t="str">
        <f>IF(AND(ISNUMBER(E153),ISNUMBER(F153)),IF(F153&gt;0,E153/F153,""),"")</f>
        <v/>
      </c>
      <c r="K153" s="23" t="str">
        <f>IF(AND(ISNUMBER(G153),ISNUMBER(H153)),IF(H153&gt;0,G153/H153,""),"")</f>
        <v/>
      </c>
      <c r="L153" s="24" t="str">
        <f>IF(AND(ISNUMBER(J153),ISNUMBER(K153)),IF(J153&gt;0,K153/J153,""),"")</f>
        <v/>
      </c>
    </row>
    <row r="154" spans="1:12" x14ac:dyDescent="0.25">
      <c r="A154" s="18"/>
      <c r="B154" s="21"/>
      <c r="C154" s="19"/>
      <c r="D154" s="23" t="str">
        <f>IF(B154="","",IFERROR(VLOOKUP(B154,Frentes!$A$5:$B$64,2,0),""))</f>
        <v/>
      </c>
      <c r="E154" s="17"/>
      <c r="F154" s="17"/>
      <c r="G154" s="17"/>
      <c r="H154" s="17"/>
      <c r="I154" s="19"/>
      <c r="J154" s="23" t="str">
        <f>IF(AND(ISNUMBER(E154),ISNUMBER(F154)),IF(F154&gt;0,E154/F154,""),"")</f>
        <v/>
      </c>
      <c r="K154" s="23" t="str">
        <f>IF(AND(ISNUMBER(G154),ISNUMBER(H154)),IF(H154&gt;0,G154/H154,""),"")</f>
        <v/>
      </c>
      <c r="L154" s="24" t="str">
        <f>IF(AND(ISNUMBER(J154),ISNUMBER(K154)),IF(J154&gt;0,K154/J154,""),"")</f>
        <v/>
      </c>
    </row>
    <row r="155" spans="1:12" x14ac:dyDescent="0.25">
      <c r="A155" s="18"/>
      <c r="B155" s="21"/>
      <c r="C155" s="19"/>
      <c r="D155" s="23" t="str">
        <f>IF(B155="","",IFERROR(VLOOKUP(B155,Frentes!$A$5:$B$64,2,0),""))</f>
        <v/>
      </c>
      <c r="E155" s="17"/>
      <c r="F155" s="17"/>
      <c r="G155" s="17"/>
      <c r="H155" s="17"/>
      <c r="I155" s="19"/>
      <c r="J155" s="23" t="str">
        <f>IF(AND(ISNUMBER(E155),ISNUMBER(F155)),IF(F155&gt;0,E155/F155,""),"")</f>
        <v/>
      </c>
      <c r="K155" s="23" t="str">
        <f>IF(AND(ISNUMBER(G155),ISNUMBER(H155)),IF(H155&gt;0,G155/H155,""),"")</f>
        <v/>
      </c>
      <c r="L155" s="24" t="str">
        <f>IF(AND(ISNUMBER(J155),ISNUMBER(K155)),IF(J155&gt;0,K155/J155,""),"")</f>
        <v/>
      </c>
    </row>
    <row r="156" spans="1:12" x14ac:dyDescent="0.25">
      <c r="A156" s="18"/>
      <c r="B156" s="21"/>
      <c r="C156" s="19"/>
      <c r="D156" s="23" t="str">
        <f>IF(B156="","",IFERROR(VLOOKUP(B156,Frentes!$A$5:$B$64,2,0),""))</f>
        <v/>
      </c>
      <c r="E156" s="17"/>
      <c r="F156" s="17"/>
      <c r="G156" s="17"/>
      <c r="H156" s="17"/>
      <c r="I156" s="19"/>
      <c r="J156" s="23" t="str">
        <f>IF(AND(ISNUMBER(E156),ISNUMBER(F156)),IF(F156&gt;0,E156/F156,""),"")</f>
        <v/>
      </c>
      <c r="K156" s="23" t="str">
        <f>IF(AND(ISNUMBER(G156),ISNUMBER(H156)),IF(H156&gt;0,G156/H156,""),"")</f>
        <v/>
      </c>
      <c r="L156" s="24" t="str">
        <f>IF(AND(ISNUMBER(J156),ISNUMBER(K156)),IF(J156&gt;0,K156/J156,""),"")</f>
        <v/>
      </c>
    </row>
    <row r="157" spans="1:12" x14ac:dyDescent="0.25">
      <c r="A157" s="18"/>
      <c r="B157" s="21"/>
      <c r="C157" s="19"/>
      <c r="D157" s="23" t="str">
        <f>IF(B157="","",IFERROR(VLOOKUP(B157,Frentes!$A$5:$B$64,2,0),""))</f>
        <v/>
      </c>
      <c r="E157" s="17"/>
      <c r="F157" s="17"/>
      <c r="G157" s="17"/>
      <c r="H157" s="17"/>
      <c r="I157" s="19"/>
      <c r="J157" s="23" t="str">
        <f>IF(AND(ISNUMBER(E157),ISNUMBER(F157)),IF(F157&gt;0,E157/F157,""),"")</f>
        <v/>
      </c>
      <c r="K157" s="23" t="str">
        <f>IF(AND(ISNUMBER(G157),ISNUMBER(H157)),IF(H157&gt;0,G157/H157,""),"")</f>
        <v/>
      </c>
      <c r="L157" s="24" t="str">
        <f>IF(AND(ISNUMBER(J157),ISNUMBER(K157)),IF(J157&gt;0,K157/J157,""),"")</f>
        <v/>
      </c>
    </row>
    <row r="158" spans="1:12" x14ac:dyDescent="0.25">
      <c r="A158" s="18"/>
      <c r="B158" s="21"/>
      <c r="C158" s="19"/>
      <c r="D158" s="23" t="str">
        <f>IF(B158="","",IFERROR(VLOOKUP(B158,Frentes!$A$5:$B$64,2,0),""))</f>
        <v/>
      </c>
      <c r="E158" s="17"/>
      <c r="F158" s="17"/>
      <c r="G158" s="17"/>
      <c r="H158" s="17"/>
      <c r="I158" s="19"/>
      <c r="J158" s="23" t="str">
        <f>IF(AND(ISNUMBER(E158),ISNUMBER(F158)),IF(F158&gt;0,E158/F158,""),"")</f>
        <v/>
      </c>
      <c r="K158" s="23" t="str">
        <f>IF(AND(ISNUMBER(G158),ISNUMBER(H158)),IF(H158&gt;0,G158/H158,""),"")</f>
        <v/>
      </c>
      <c r="L158" s="24" t="str">
        <f>IF(AND(ISNUMBER(J158),ISNUMBER(K158)),IF(J158&gt;0,K158/J158,""),"")</f>
        <v/>
      </c>
    </row>
    <row r="159" spans="1:12" x14ac:dyDescent="0.25">
      <c r="A159" s="18"/>
      <c r="B159" s="21"/>
      <c r="C159" s="19"/>
      <c r="D159" s="23" t="str">
        <f>IF(B159="","",IFERROR(VLOOKUP(B159,Frentes!$A$5:$B$64,2,0),""))</f>
        <v/>
      </c>
      <c r="E159" s="17"/>
      <c r="F159" s="17"/>
      <c r="G159" s="17"/>
      <c r="H159" s="17"/>
      <c r="I159" s="19"/>
      <c r="J159" s="23" t="str">
        <f>IF(AND(ISNUMBER(E159),ISNUMBER(F159)),IF(F159&gt;0,E159/F159,""),"")</f>
        <v/>
      </c>
      <c r="K159" s="23" t="str">
        <f>IF(AND(ISNUMBER(G159),ISNUMBER(H159)),IF(H159&gt;0,G159/H159,""),"")</f>
        <v/>
      </c>
      <c r="L159" s="24" t="str">
        <f>IF(AND(ISNUMBER(J159),ISNUMBER(K159)),IF(J159&gt;0,K159/J159,""),"")</f>
        <v/>
      </c>
    </row>
    <row r="160" spans="1:12" x14ac:dyDescent="0.25">
      <c r="A160" s="18"/>
      <c r="B160" s="21"/>
      <c r="C160" s="19"/>
      <c r="D160" s="23" t="str">
        <f>IF(B160="","",IFERROR(VLOOKUP(B160,Frentes!$A$5:$B$64,2,0),""))</f>
        <v/>
      </c>
      <c r="E160" s="17"/>
      <c r="F160" s="17"/>
      <c r="G160" s="17"/>
      <c r="H160" s="17"/>
      <c r="I160" s="19"/>
      <c r="J160" s="23" t="str">
        <f>IF(AND(ISNUMBER(E160),ISNUMBER(F160)),IF(F160&gt;0,E160/F160,""),"")</f>
        <v/>
      </c>
      <c r="K160" s="23" t="str">
        <f>IF(AND(ISNUMBER(G160),ISNUMBER(H160)),IF(H160&gt;0,G160/H160,""),"")</f>
        <v/>
      </c>
      <c r="L160" s="24" t="str">
        <f>IF(AND(ISNUMBER(J160),ISNUMBER(K160)),IF(J160&gt;0,K160/J160,""),"")</f>
        <v/>
      </c>
    </row>
    <row r="161" spans="1:12" x14ac:dyDescent="0.25">
      <c r="A161" s="18"/>
      <c r="B161" s="21"/>
      <c r="C161" s="19"/>
      <c r="D161" s="23" t="str">
        <f>IF(B161="","",IFERROR(VLOOKUP(B161,Frentes!$A$5:$B$64,2,0),""))</f>
        <v/>
      </c>
      <c r="E161" s="17"/>
      <c r="F161" s="17"/>
      <c r="G161" s="17"/>
      <c r="H161" s="17"/>
      <c r="I161" s="19"/>
      <c r="J161" s="23" t="str">
        <f>IF(AND(ISNUMBER(E161),ISNUMBER(F161)),IF(F161&gt;0,E161/F161,""),"")</f>
        <v/>
      </c>
      <c r="K161" s="23" t="str">
        <f>IF(AND(ISNUMBER(G161),ISNUMBER(H161)),IF(H161&gt;0,G161/H161,""),"")</f>
        <v/>
      </c>
      <c r="L161" s="24" t="str">
        <f>IF(AND(ISNUMBER(J161),ISNUMBER(K161)),IF(J161&gt;0,K161/J161,""),"")</f>
        <v/>
      </c>
    </row>
    <row r="162" spans="1:12" x14ac:dyDescent="0.25">
      <c r="A162" s="18"/>
      <c r="B162" s="21"/>
      <c r="C162" s="19"/>
      <c r="D162" s="23" t="str">
        <f>IF(B162="","",IFERROR(VLOOKUP(B162,Frentes!$A$5:$B$64,2,0),""))</f>
        <v/>
      </c>
      <c r="E162" s="17"/>
      <c r="F162" s="17"/>
      <c r="G162" s="17"/>
      <c r="H162" s="17"/>
      <c r="I162" s="19"/>
      <c r="J162" s="23" t="str">
        <f>IF(AND(ISNUMBER(E162),ISNUMBER(F162)),IF(F162&gt;0,E162/F162,""),"")</f>
        <v/>
      </c>
      <c r="K162" s="23" t="str">
        <f>IF(AND(ISNUMBER(G162),ISNUMBER(H162)),IF(H162&gt;0,G162/H162,""),"")</f>
        <v/>
      </c>
      <c r="L162" s="24" t="str">
        <f>IF(AND(ISNUMBER(J162),ISNUMBER(K162)),IF(J162&gt;0,K162/J162,""),"")</f>
        <v/>
      </c>
    </row>
    <row r="163" spans="1:12" x14ac:dyDescent="0.25">
      <c r="A163" s="18"/>
      <c r="B163" s="21"/>
      <c r="C163" s="19"/>
      <c r="D163" s="23" t="str">
        <f>IF(B163="","",IFERROR(VLOOKUP(B163,Frentes!$A$5:$B$64,2,0),""))</f>
        <v/>
      </c>
      <c r="E163" s="17"/>
      <c r="F163" s="17"/>
      <c r="G163" s="17"/>
      <c r="H163" s="17"/>
      <c r="I163" s="19"/>
      <c r="J163" s="23" t="str">
        <f>IF(AND(ISNUMBER(E163),ISNUMBER(F163)),IF(F163&gt;0,E163/F163,""),"")</f>
        <v/>
      </c>
      <c r="K163" s="23" t="str">
        <f>IF(AND(ISNUMBER(G163),ISNUMBER(H163)),IF(H163&gt;0,G163/H163,""),"")</f>
        <v/>
      </c>
      <c r="L163" s="24" t="str">
        <f>IF(AND(ISNUMBER(J163),ISNUMBER(K163)),IF(J163&gt;0,K163/J163,""),"")</f>
        <v/>
      </c>
    </row>
    <row r="164" spans="1:12" x14ac:dyDescent="0.25">
      <c r="A164" s="18"/>
      <c r="B164" s="21"/>
      <c r="C164" s="19"/>
      <c r="D164" s="23" t="str">
        <f>IF(B164="","",IFERROR(VLOOKUP(B164,Frentes!$A$5:$B$64,2,0),""))</f>
        <v/>
      </c>
      <c r="E164" s="17"/>
      <c r="F164" s="17"/>
      <c r="G164" s="17"/>
      <c r="H164" s="17"/>
      <c r="I164" s="19"/>
      <c r="J164" s="23" t="str">
        <f>IF(AND(ISNUMBER(E164),ISNUMBER(F164)),IF(F164&gt;0,E164/F164,""),"")</f>
        <v/>
      </c>
      <c r="K164" s="23" t="str">
        <f>IF(AND(ISNUMBER(G164),ISNUMBER(H164)),IF(H164&gt;0,G164/H164,""),"")</f>
        <v/>
      </c>
      <c r="L164" s="24" t="str">
        <f>IF(AND(ISNUMBER(J164),ISNUMBER(K164)),IF(J164&gt;0,K164/J164,""),"")</f>
        <v/>
      </c>
    </row>
    <row r="165" spans="1:12" x14ac:dyDescent="0.25">
      <c r="A165" s="18"/>
      <c r="B165" s="21"/>
      <c r="C165" s="19"/>
      <c r="D165" s="23" t="str">
        <f>IF(B165="","",IFERROR(VLOOKUP(B165,Frentes!$A$5:$B$64,2,0),""))</f>
        <v/>
      </c>
      <c r="E165" s="17"/>
      <c r="F165" s="17"/>
      <c r="G165" s="17"/>
      <c r="H165" s="17"/>
      <c r="I165" s="19"/>
      <c r="J165" s="23" t="str">
        <f>IF(AND(ISNUMBER(E165),ISNUMBER(F165)),IF(F165&gt;0,E165/F165,""),"")</f>
        <v/>
      </c>
      <c r="K165" s="23" t="str">
        <f>IF(AND(ISNUMBER(G165),ISNUMBER(H165)),IF(H165&gt;0,G165/H165,""),"")</f>
        <v/>
      </c>
      <c r="L165" s="24" t="str">
        <f>IF(AND(ISNUMBER(J165),ISNUMBER(K165)),IF(J165&gt;0,K165/J165,""),"")</f>
        <v/>
      </c>
    </row>
    <row r="166" spans="1:12" x14ac:dyDescent="0.25">
      <c r="A166" s="18"/>
      <c r="B166" s="21"/>
      <c r="C166" s="19"/>
      <c r="D166" s="23" t="str">
        <f>IF(B166="","",IFERROR(VLOOKUP(B166,Frentes!$A$5:$B$64,2,0),""))</f>
        <v/>
      </c>
      <c r="E166" s="17"/>
      <c r="F166" s="17"/>
      <c r="G166" s="17"/>
      <c r="H166" s="17"/>
      <c r="I166" s="19"/>
      <c r="J166" s="23" t="str">
        <f>IF(AND(ISNUMBER(E166),ISNUMBER(F166)),IF(F166&gt;0,E166/F166,""),"")</f>
        <v/>
      </c>
      <c r="K166" s="23" t="str">
        <f>IF(AND(ISNUMBER(G166),ISNUMBER(H166)),IF(H166&gt;0,G166/H166,""),"")</f>
        <v/>
      </c>
      <c r="L166" s="24" t="str">
        <f>IF(AND(ISNUMBER(J166),ISNUMBER(K166)),IF(J166&gt;0,K166/J166,""),"")</f>
        <v/>
      </c>
    </row>
    <row r="167" spans="1:12" x14ac:dyDescent="0.25">
      <c r="A167" s="18"/>
      <c r="B167" s="21"/>
      <c r="C167" s="19"/>
      <c r="D167" s="23" t="str">
        <f>IF(B167="","",IFERROR(VLOOKUP(B167,Frentes!$A$5:$B$64,2,0),""))</f>
        <v/>
      </c>
      <c r="E167" s="17"/>
      <c r="F167" s="17"/>
      <c r="G167" s="17"/>
      <c r="H167" s="17"/>
      <c r="I167" s="19"/>
      <c r="J167" s="23" t="str">
        <f>IF(AND(ISNUMBER(E167),ISNUMBER(F167)),IF(F167&gt;0,E167/F167,""),"")</f>
        <v/>
      </c>
      <c r="K167" s="23" t="str">
        <f>IF(AND(ISNUMBER(G167),ISNUMBER(H167)),IF(H167&gt;0,G167/H167,""),"")</f>
        <v/>
      </c>
      <c r="L167" s="24" t="str">
        <f>IF(AND(ISNUMBER(J167),ISNUMBER(K167)),IF(J167&gt;0,K167/J167,""),"")</f>
        <v/>
      </c>
    </row>
    <row r="168" spans="1:12" x14ac:dyDescent="0.25">
      <c r="A168" s="18"/>
      <c r="B168" s="21"/>
      <c r="C168" s="19"/>
      <c r="D168" s="23" t="str">
        <f>IF(B168="","",IFERROR(VLOOKUP(B168,Frentes!$A$5:$B$64,2,0),""))</f>
        <v/>
      </c>
      <c r="E168" s="17"/>
      <c r="F168" s="17"/>
      <c r="G168" s="17"/>
      <c r="H168" s="17"/>
      <c r="I168" s="19"/>
      <c r="J168" s="23" t="str">
        <f>IF(AND(ISNUMBER(E168),ISNUMBER(F168)),IF(F168&gt;0,E168/F168,""),"")</f>
        <v/>
      </c>
      <c r="K168" s="23" t="str">
        <f>IF(AND(ISNUMBER(G168),ISNUMBER(H168)),IF(H168&gt;0,G168/H168,""),"")</f>
        <v/>
      </c>
      <c r="L168" s="24" t="str">
        <f>IF(AND(ISNUMBER(J168),ISNUMBER(K168)),IF(J168&gt;0,K168/J168,""),"")</f>
        <v/>
      </c>
    </row>
    <row r="169" spans="1:12" x14ac:dyDescent="0.25">
      <c r="A169" s="18"/>
      <c r="B169" s="21"/>
      <c r="C169" s="19"/>
      <c r="D169" s="23" t="str">
        <f>IF(B169="","",IFERROR(VLOOKUP(B169,Frentes!$A$5:$B$64,2,0),""))</f>
        <v/>
      </c>
      <c r="E169" s="17"/>
      <c r="F169" s="17"/>
      <c r="G169" s="17"/>
      <c r="H169" s="17"/>
      <c r="I169" s="19"/>
      <c r="J169" s="23" t="str">
        <f>IF(AND(ISNUMBER(E169),ISNUMBER(F169)),IF(F169&gt;0,E169/F169,""),"")</f>
        <v/>
      </c>
      <c r="K169" s="23" t="str">
        <f>IF(AND(ISNUMBER(G169),ISNUMBER(H169)),IF(H169&gt;0,G169/H169,""),"")</f>
        <v/>
      </c>
      <c r="L169" s="24" t="str">
        <f>IF(AND(ISNUMBER(J169),ISNUMBER(K169)),IF(J169&gt;0,K169/J169,""),"")</f>
        <v/>
      </c>
    </row>
    <row r="170" spans="1:12" x14ac:dyDescent="0.25">
      <c r="A170" s="18"/>
      <c r="B170" s="21"/>
      <c r="C170" s="19"/>
      <c r="D170" s="23" t="str">
        <f>IF(B170="","",IFERROR(VLOOKUP(B170,Frentes!$A$5:$B$64,2,0),""))</f>
        <v/>
      </c>
      <c r="E170" s="17"/>
      <c r="F170" s="17"/>
      <c r="G170" s="17"/>
      <c r="H170" s="17"/>
      <c r="I170" s="19"/>
      <c r="J170" s="23" t="str">
        <f>IF(AND(ISNUMBER(E170),ISNUMBER(F170)),IF(F170&gt;0,E170/F170,""),"")</f>
        <v/>
      </c>
      <c r="K170" s="23" t="str">
        <f>IF(AND(ISNUMBER(G170),ISNUMBER(H170)),IF(H170&gt;0,G170/H170,""),"")</f>
        <v/>
      </c>
      <c r="L170" s="24" t="str">
        <f>IF(AND(ISNUMBER(J170),ISNUMBER(K170)),IF(J170&gt;0,K170/J170,""),"")</f>
        <v/>
      </c>
    </row>
    <row r="171" spans="1:12" x14ac:dyDescent="0.25">
      <c r="A171" s="18"/>
      <c r="B171" s="21"/>
      <c r="C171" s="19"/>
      <c r="D171" s="23" t="str">
        <f>IF(B171="","",IFERROR(VLOOKUP(B171,Frentes!$A$5:$B$64,2,0),""))</f>
        <v/>
      </c>
      <c r="E171" s="17"/>
      <c r="F171" s="17"/>
      <c r="G171" s="17"/>
      <c r="H171" s="17"/>
      <c r="I171" s="19"/>
      <c r="J171" s="23" t="str">
        <f>IF(AND(ISNUMBER(E171),ISNUMBER(F171)),IF(F171&gt;0,E171/F171,""),"")</f>
        <v/>
      </c>
      <c r="K171" s="23" t="str">
        <f>IF(AND(ISNUMBER(G171),ISNUMBER(H171)),IF(H171&gt;0,G171/H171,""),"")</f>
        <v/>
      </c>
      <c r="L171" s="24" t="str">
        <f>IF(AND(ISNUMBER(J171),ISNUMBER(K171)),IF(J171&gt;0,K171/J171,""),"")</f>
        <v/>
      </c>
    </row>
    <row r="172" spans="1:12" x14ac:dyDescent="0.25">
      <c r="A172" s="18"/>
      <c r="B172" s="21"/>
      <c r="C172" s="19"/>
      <c r="D172" s="23" t="str">
        <f>IF(B172="","",IFERROR(VLOOKUP(B172,Frentes!$A$5:$B$64,2,0),""))</f>
        <v/>
      </c>
      <c r="E172" s="17"/>
      <c r="F172" s="17"/>
      <c r="G172" s="17"/>
      <c r="H172" s="17"/>
      <c r="I172" s="19"/>
      <c r="J172" s="23" t="str">
        <f>IF(AND(ISNUMBER(E172),ISNUMBER(F172)),IF(F172&gt;0,E172/F172,""),"")</f>
        <v/>
      </c>
      <c r="K172" s="23" t="str">
        <f>IF(AND(ISNUMBER(G172),ISNUMBER(H172)),IF(H172&gt;0,G172/H172,""),"")</f>
        <v/>
      </c>
      <c r="L172" s="24" t="str">
        <f>IF(AND(ISNUMBER(J172),ISNUMBER(K172)),IF(J172&gt;0,K172/J172,""),"")</f>
        <v/>
      </c>
    </row>
    <row r="173" spans="1:12" x14ac:dyDescent="0.25">
      <c r="A173" s="18"/>
      <c r="B173" s="21"/>
      <c r="C173" s="19"/>
      <c r="D173" s="23" t="str">
        <f>IF(B173="","",IFERROR(VLOOKUP(B173,Frentes!$A$5:$B$64,2,0),""))</f>
        <v/>
      </c>
      <c r="E173" s="17"/>
      <c r="F173" s="17"/>
      <c r="G173" s="17"/>
      <c r="H173" s="17"/>
      <c r="I173" s="19"/>
      <c r="J173" s="23" t="str">
        <f>IF(AND(ISNUMBER(E173),ISNUMBER(F173)),IF(F173&gt;0,E173/F173,""),"")</f>
        <v/>
      </c>
      <c r="K173" s="23" t="str">
        <f>IF(AND(ISNUMBER(G173),ISNUMBER(H173)),IF(H173&gt;0,G173/H173,""),"")</f>
        <v/>
      </c>
      <c r="L173" s="24" t="str">
        <f>IF(AND(ISNUMBER(J173),ISNUMBER(K173)),IF(J173&gt;0,K173/J173,""),"")</f>
        <v/>
      </c>
    </row>
    <row r="174" spans="1:12" x14ac:dyDescent="0.25">
      <c r="A174" s="18"/>
      <c r="B174" s="21"/>
      <c r="C174" s="19"/>
      <c r="D174" s="23" t="str">
        <f>IF(B174="","",IFERROR(VLOOKUP(B174,Frentes!$A$5:$B$64,2,0),""))</f>
        <v/>
      </c>
      <c r="E174" s="17"/>
      <c r="F174" s="17"/>
      <c r="G174" s="17"/>
      <c r="H174" s="17"/>
      <c r="I174" s="19"/>
      <c r="J174" s="23" t="str">
        <f>IF(AND(ISNUMBER(E174),ISNUMBER(F174)),IF(F174&gt;0,E174/F174,""),"")</f>
        <v/>
      </c>
      <c r="K174" s="23" t="str">
        <f>IF(AND(ISNUMBER(G174),ISNUMBER(H174)),IF(H174&gt;0,G174/H174,""),"")</f>
        <v/>
      </c>
      <c r="L174" s="24" t="str">
        <f>IF(AND(ISNUMBER(J174),ISNUMBER(K174)),IF(J174&gt;0,K174/J174,""),"")</f>
        <v/>
      </c>
    </row>
    <row r="175" spans="1:12" x14ac:dyDescent="0.25">
      <c r="A175" s="18"/>
      <c r="B175" s="21"/>
      <c r="C175" s="19"/>
      <c r="D175" s="23" t="str">
        <f>IF(B175="","",IFERROR(VLOOKUP(B175,Frentes!$A$5:$B$64,2,0),""))</f>
        <v/>
      </c>
      <c r="E175" s="17"/>
      <c r="F175" s="17"/>
      <c r="G175" s="17"/>
      <c r="H175" s="17"/>
      <c r="I175" s="19"/>
      <c r="J175" s="23" t="str">
        <f>IF(AND(ISNUMBER(E175),ISNUMBER(F175)),IF(F175&gt;0,E175/F175,""),"")</f>
        <v/>
      </c>
      <c r="K175" s="23" t="str">
        <f>IF(AND(ISNUMBER(G175),ISNUMBER(H175)),IF(H175&gt;0,G175/H175,""),"")</f>
        <v/>
      </c>
      <c r="L175" s="24" t="str">
        <f>IF(AND(ISNUMBER(J175),ISNUMBER(K175)),IF(J175&gt;0,K175/J175,""),"")</f>
        <v/>
      </c>
    </row>
    <row r="176" spans="1:12" x14ac:dyDescent="0.25">
      <c r="A176" s="18"/>
      <c r="B176" s="21"/>
      <c r="C176" s="19"/>
      <c r="D176" s="23" t="str">
        <f>IF(B176="","",IFERROR(VLOOKUP(B176,Frentes!$A$5:$B$64,2,0),""))</f>
        <v/>
      </c>
      <c r="E176" s="17"/>
      <c r="F176" s="17"/>
      <c r="G176" s="17"/>
      <c r="H176" s="17"/>
      <c r="I176" s="19"/>
      <c r="J176" s="23" t="str">
        <f>IF(AND(ISNUMBER(E176),ISNUMBER(F176)),IF(F176&gt;0,E176/F176,""),"")</f>
        <v/>
      </c>
      <c r="K176" s="23" t="str">
        <f>IF(AND(ISNUMBER(G176),ISNUMBER(H176)),IF(H176&gt;0,G176/H176,""),"")</f>
        <v/>
      </c>
      <c r="L176" s="24" t="str">
        <f>IF(AND(ISNUMBER(J176),ISNUMBER(K176)),IF(J176&gt;0,K176/J176,""),"")</f>
        <v/>
      </c>
    </row>
    <row r="177" spans="1:12" x14ac:dyDescent="0.25">
      <c r="A177" s="18"/>
      <c r="B177" s="21"/>
      <c r="C177" s="19"/>
      <c r="D177" s="23" t="str">
        <f>IF(B177="","",IFERROR(VLOOKUP(B177,Frentes!$A$5:$B$64,2,0),""))</f>
        <v/>
      </c>
      <c r="E177" s="17"/>
      <c r="F177" s="17"/>
      <c r="G177" s="17"/>
      <c r="H177" s="17"/>
      <c r="I177" s="19"/>
      <c r="J177" s="23" t="str">
        <f>IF(AND(ISNUMBER(E177),ISNUMBER(F177)),IF(F177&gt;0,E177/F177,""),"")</f>
        <v/>
      </c>
      <c r="K177" s="23" t="str">
        <f>IF(AND(ISNUMBER(G177),ISNUMBER(H177)),IF(H177&gt;0,G177/H177,""),"")</f>
        <v/>
      </c>
      <c r="L177" s="24" t="str">
        <f>IF(AND(ISNUMBER(J177),ISNUMBER(K177)),IF(J177&gt;0,K177/J177,""),"")</f>
        <v/>
      </c>
    </row>
    <row r="178" spans="1:12" x14ac:dyDescent="0.25">
      <c r="A178" s="18"/>
      <c r="B178" s="21"/>
      <c r="C178" s="19"/>
      <c r="D178" s="23" t="str">
        <f>IF(B178="","",IFERROR(VLOOKUP(B178,Frentes!$A$5:$B$64,2,0),""))</f>
        <v/>
      </c>
      <c r="E178" s="17"/>
      <c r="F178" s="17"/>
      <c r="G178" s="17"/>
      <c r="H178" s="17"/>
      <c r="I178" s="19"/>
      <c r="J178" s="23" t="str">
        <f>IF(AND(ISNUMBER(E178),ISNUMBER(F178)),IF(F178&gt;0,E178/F178,""),"")</f>
        <v/>
      </c>
      <c r="K178" s="23" t="str">
        <f>IF(AND(ISNUMBER(G178),ISNUMBER(H178)),IF(H178&gt;0,G178/H178,""),"")</f>
        <v/>
      </c>
      <c r="L178" s="24" t="str">
        <f>IF(AND(ISNUMBER(J178),ISNUMBER(K178)),IF(J178&gt;0,K178/J178,""),"")</f>
        <v/>
      </c>
    </row>
    <row r="179" spans="1:12" x14ac:dyDescent="0.25">
      <c r="A179" s="18"/>
      <c r="B179" s="21"/>
      <c r="C179" s="19"/>
      <c r="D179" s="23" t="str">
        <f>IF(B179="","",IFERROR(VLOOKUP(B179,Frentes!$A$5:$B$64,2,0),""))</f>
        <v/>
      </c>
      <c r="E179" s="17"/>
      <c r="F179" s="17"/>
      <c r="G179" s="17"/>
      <c r="H179" s="17"/>
      <c r="I179" s="19"/>
      <c r="J179" s="23" t="str">
        <f>IF(AND(ISNUMBER(E179),ISNUMBER(F179)),IF(F179&gt;0,E179/F179,""),"")</f>
        <v/>
      </c>
      <c r="K179" s="23" t="str">
        <f>IF(AND(ISNUMBER(G179),ISNUMBER(H179)),IF(H179&gt;0,G179/H179,""),"")</f>
        <v/>
      </c>
      <c r="L179" s="24" t="str">
        <f>IF(AND(ISNUMBER(J179),ISNUMBER(K179)),IF(J179&gt;0,K179/J179,""),"")</f>
        <v/>
      </c>
    </row>
    <row r="180" spans="1:12" x14ac:dyDescent="0.25">
      <c r="A180" s="18"/>
      <c r="B180" s="21"/>
      <c r="C180" s="19"/>
      <c r="D180" s="23" t="str">
        <f>IF(B180="","",IFERROR(VLOOKUP(B180,Frentes!$A$5:$B$64,2,0),""))</f>
        <v/>
      </c>
      <c r="E180" s="17"/>
      <c r="F180" s="17"/>
      <c r="G180" s="17"/>
      <c r="H180" s="17"/>
      <c r="I180" s="19"/>
      <c r="J180" s="23" t="str">
        <f>IF(AND(ISNUMBER(E180),ISNUMBER(F180)),IF(F180&gt;0,E180/F180,""),"")</f>
        <v/>
      </c>
      <c r="K180" s="23" t="str">
        <f>IF(AND(ISNUMBER(G180),ISNUMBER(H180)),IF(H180&gt;0,G180/H180,""),"")</f>
        <v/>
      </c>
      <c r="L180" s="24" t="str">
        <f>IF(AND(ISNUMBER(J180),ISNUMBER(K180)),IF(J180&gt;0,K180/J180,""),"")</f>
        <v/>
      </c>
    </row>
    <row r="181" spans="1:12" x14ac:dyDescent="0.25">
      <c r="A181" s="18"/>
      <c r="B181" s="21"/>
      <c r="C181" s="19"/>
      <c r="D181" s="23" t="str">
        <f>IF(B181="","",IFERROR(VLOOKUP(B181,Frentes!$A$5:$B$64,2,0),""))</f>
        <v/>
      </c>
      <c r="E181" s="17"/>
      <c r="F181" s="17"/>
      <c r="G181" s="17"/>
      <c r="H181" s="17"/>
      <c r="I181" s="19"/>
      <c r="J181" s="23" t="str">
        <f>IF(AND(ISNUMBER(E181),ISNUMBER(F181)),IF(F181&gt;0,E181/F181,""),"")</f>
        <v/>
      </c>
      <c r="K181" s="23" t="str">
        <f>IF(AND(ISNUMBER(G181),ISNUMBER(H181)),IF(H181&gt;0,G181/H181,""),"")</f>
        <v/>
      </c>
      <c r="L181" s="24" t="str">
        <f>IF(AND(ISNUMBER(J181),ISNUMBER(K181)),IF(J181&gt;0,K181/J181,""),"")</f>
        <v/>
      </c>
    </row>
    <row r="182" spans="1:12" x14ac:dyDescent="0.25">
      <c r="A182" s="18"/>
      <c r="B182" s="21"/>
      <c r="C182" s="19"/>
      <c r="D182" s="23" t="str">
        <f>IF(B182="","",IFERROR(VLOOKUP(B182,Frentes!$A$5:$B$64,2,0),""))</f>
        <v/>
      </c>
      <c r="E182" s="17"/>
      <c r="F182" s="17"/>
      <c r="G182" s="17"/>
      <c r="H182" s="17"/>
      <c r="I182" s="19"/>
      <c r="J182" s="23" t="str">
        <f>IF(AND(ISNUMBER(E182),ISNUMBER(F182)),IF(F182&gt;0,E182/F182,""),"")</f>
        <v/>
      </c>
      <c r="K182" s="23" t="str">
        <f>IF(AND(ISNUMBER(G182),ISNUMBER(H182)),IF(H182&gt;0,G182/H182,""),"")</f>
        <v/>
      </c>
      <c r="L182" s="24" t="str">
        <f>IF(AND(ISNUMBER(J182),ISNUMBER(K182)),IF(J182&gt;0,K182/J182,""),"")</f>
        <v/>
      </c>
    </row>
    <row r="183" spans="1:12" x14ac:dyDescent="0.25">
      <c r="A183" s="18"/>
      <c r="B183" s="21"/>
      <c r="C183" s="19"/>
      <c r="D183" s="23" t="str">
        <f>IF(B183="","",IFERROR(VLOOKUP(B183,Frentes!$A$5:$B$64,2,0),""))</f>
        <v/>
      </c>
      <c r="E183" s="17"/>
      <c r="F183" s="17"/>
      <c r="G183" s="17"/>
      <c r="H183" s="17"/>
      <c r="I183" s="19"/>
      <c r="J183" s="23" t="str">
        <f>IF(AND(ISNUMBER(E183),ISNUMBER(F183)),IF(F183&gt;0,E183/F183,""),"")</f>
        <v/>
      </c>
      <c r="K183" s="23" t="str">
        <f>IF(AND(ISNUMBER(G183),ISNUMBER(H183)),IF(H183&gt;0,G183/H183,""),"")</f>
        <v/>
      </c>
      <c r="L183" s="24" t="str">
        <f>IF(AND(ISNUMBER(J183),ISNUMBER(K183)),IF(J183&gt;0,K183/J183,""),"")</f>
        <v/>
      </c>
    </row>
    <row r="184" spans="1:12" x14ac:dyDescent="0.25">
      <c r="A184" s="18"/>
      <c r="B184" s="21"/>
      <c r="C184" s="19"/>
      <c r="D184" s="23" t="str">
        <f>IF(B184="","",IFERROR(VLOOKUP(B184,Frentes!$A$5:$B$64,2,0),""))</f>
        <v/>
      </c>
      <c r="E184" s="17"/>
      <c r="F184" s="17"/>
      <c r="G184" s="17"/>
      <c r="H184" s="17"/>
      <c r="I184" s="19"/>
      <c r="J184" s="23" t="str">
        <f>IF(AND(ISNUMBER(E184),ISNUMBER(F184)),IF(F184&gt;0,E184/F184,""),"")</f>
        <v/>
      </c>
      <c r="K184" s="23" t="str">
        <f>IF(AND(ISNUMBER(G184),ISNUMBER(H184)),IF(H184&gt;0,G184/H184,""),"")</f>
        <v/>
      </c>
      <c r="L184" s="24" t="str">
        <f>IF(AND(ISNUMBER(J184),ISNUMBER(K184)),IF(J184&gt;0,K184/J184,""),"")</f>
        <v/>
      </c>
    </row>
    <row r="185" spans="1:12" x14ac:dyDescent="0.25">
      <c r="A185" s="18"/>
      <c r="B185" s="21"/>
      <c r="C185" s="19"/>
      <c r="D185" s="23" t="str">
        <f>IF(B185="","",IFERROR(VLOOKUP(B185,Frentes!$A$5:$B$64,2,0),""))</f>
        <v/>
      </c>
      <c r="E185" s="17"/>
      <c r="F185" s="17"/>
      <c r="G185" s="17"/>
      <c r="H185" s="17"/>
      <c r="I185" s="19"/>
      <c r="J185" s="23" t="str">
        <f>IF(AND(ISNUMBER(E185),ISNUMBER(F185)),IF(F185&gt;0,E185/F185,""),"")</f>
        <v/>
      </c>
      <c r="K185" s="23" t="str">
        <f>IF(AND(ISNUMBER(G185),ISNUMBER(H185)),IF(H185&gt;0,G185/H185,""),"")</f>
        <v/>
      </c>
      <c r="L185" s="24" t="str">
        <f>IF(AND(ISNUMBER(J185),ISNUMBER(K185)),IF(J185&gt;0,K185/J185,""),"")</f>
        <v/>
      </c>
    </row>
    <row r="186" spans="1:12" x14ac:dyDescent="0.25">
      <c r="A186" s="18"/>
      <c r="B186" s="21"/>
      <c r="C186" s="19"/>
      <c r="D186" s="23" t="str">
        <f>IF(B186="","",IFERROR(VLOOKUP(B186,Frentes!$A$5:$B$64,2,0),""))</f>
        <v/>
      </c>
      <c r="E186" s="17"/>
      <c r="F186" s="17"/>
      <c r="G186" s="17"/>
      <c r="H186" s="17"/>
      <c r="I186" s="19"/>
      <c r="J186" s="23" t="str">
        <f>IF(AND(ISNUMBER(E186),ISNUMBER(F186)),IF(F186&gt;0,E186/F186,""),"")</f>
        <v/>
      </c>
      <c r="K186" s="23" t="str">
        <f>IF(AND(ISNUMBER(G186),ISNUMBER(H186)),IF(H186&gt;0,G186/H186,""),"")</f>
        <v/>
      </c>
      <c r="L186" s="24" t="str">
        <f>IF(AND(ISNUMBER(J186),ISNUMBER(K186)),IF(J186&gt;0,K186/J186,""),"")</f>
        <v/>
      </c>
    </row>
    <row r="187" spans="1:12" x14ac:dyDescent="0.25">
      <c r="A187" s="18"/>
      <c r="B187" s="21"/>
      <c r="C187" s="19"/>
      <c r="D187" s="23" t="str">
        <f>IF(B187="","",IFERROR(VLOOKUP(B187,Frentes!$A$5:$B$64,2,0),""))</f>
        <v/>
      </c>
      <c r="E187" s="17"/>
      <c r="F187" s="17"/>
      <c r="G187" s="17"/>
      <c r="H187" s="17"/>
      <c r="I187" s="19"/>
      <c r="J187" s="23" t="str">
        <f>IF(AND(ISNUMBER(E187),ISNUMBER(F187)),IF(F187&gt;0,E187/F187,""),"")</f>
        <v/>
      </c>
      <c r="K187" s="23" t="str">
        <f>IF(AND(ISNUMBER(G187),ISNUMBER(H187)),IF(H187&gt;0,G187/H187,""),"")</f>
        <v/>
      </c>
      <c r="L187" s="24" t="str">
        <f>IF(AND(ISNUMBER(J187),ISNUMBER(K187)),IF(J187&gt;0,K187/J187,""),"")</f>
        <v/>
      </c>
    </row>
    <row r="188" spans="1:12" x14ac:dyDescent="0.25">
      <c r="A188" s="18"/>
      <c r="B188" s="21"/>
      <c r="C188" s="19"/>
      <c r="D188" s="23" t="str">
        <f>IF(B188="","",IFERROR(VLOOKUP(B188,Frentes!$A$5:$B$64,2,0),""))</f>
        <v/>
      </c>
      <c r="E188" s="17"/>
      <c r="F188" s="17"/>
      <c r="G188" s="17"/>
      <c r="H188" s="17"/>
      <c r="I188" s="19"/>
      <c r="J188" s="23" t="str">
        <f>IF(AND(ISNUMBER(E188),ISNUMBER(F188)),IF(F188&gt;0,E188/F188,""),"")</f>
        <v/>
      </c>
      <c r="K188" s="23" t="str">
        <f>IF(AND(ISNUMBER(G188),ISNUMBER(H188)),IF(H188&gt;0,G188/H188,""),"")</f>
        <v/>
      </c>
      <c r="L188" s="24" t="str">
        <f>IF(AND(ISNUMBER(J188),ISNUMBER(K188)),IF(J188&gt;0,K188/J188,""),"")</f>
        <v/>
      </c>
    </row>
    <row r="189" spans="1:12" x14ac:dyDescent="0.25">
      <c r="A189" s="18"/>
      <c r="B189" s="21"/>
      <c r="C189" s="19"/>
      <c r="D189" s="23" t="str">
        <f>IF(B189="","",IFERROR(VLOOKUP(B189,Frentes!$A$5:$B$64,2,0),""))</f>
        <v/>
      </c>
      <c r="E189" s="17"/>
      <c r="F189" s="17"/>
      <c r="G189" s="17"/>
      <c r="H189" s="17"/>
      <c r="I189" s="19"/>
      <c r="J189" s="23" t="str">
        <f>IF(AND(ISNUMBER(E189),ISNUMBER(F189)),IF(F189&gt;0,E189/F189,""),"")</f>
        <v/>
      </c>
      <c r="K189" s="23" t="str">
        <f>IF(AND(ISNUMBER(G189),ISNUMBER(H189)),IF(H189&gt;0,G189/H189,""),"")</f>
        <v/>
      </c>
      <c r="L189" s="24" t="str">
        <f>IF(AND(ISNUMBER(J189),ISNUMBER(K189)),IF(J189&gt;0,K189/J189,""),"")</f>
        <v/>
      </c>
    </row>
    <row r="190" spans="1:12" x14ac:dyDescent="0.25">
      <c r="A190" s="18"/>
      <c r="B190" s="21"/>
      <c r="C190" s="19"/>
      <c r="D190" s="23" t="str">
        <f>IF(B190="","",IFERROR(VLOOKUP(B190,Frentes!$A$5:$B$64,2,0),""))</f>
        <v/>
      </c>
      <c r="E190" s="17"/>
      <c r="F190" s="17"/>
      <c r="G190" s="17"/>
      <c r="H190" s="17"/>
      <c r="I190" s="19"/>
      <c r="J190" s="23" t="str">
        <f>IF(AND(ISNUMBER(E190),ISNUMBER(F190)),IF(F190&gt;0,E190/F190,""),"")</f>
        <v/>
      </c>
      <c r="K190" s="23" t="str">
        <f>IF(AND(ISNUMBER(G190),ISNUMBER(H190)),IF(H190&gt;0,G190/H190,""),"")</f>
        <v/>
      </c>
      <c r="L190" s="24" t="str">
        <f>IF(AND(ISNUMBER(J190),ISNUMBER(K190)),IF(J190&gt;0,K190/J190,""),"")</f>
        <v/>
      </c>
    </row>
    <row r="191" spans="1:12" x14ac:dyDescent="0.25">
      <c r="A191" s="18"/>
      <c r="B191" s="21"/>
      <c r="C191" s="19"/>
      <c r="D191" s="23" t="str">
        <f>IF(B191="","",IFERROR(VLOOKUP(B191,Frentes!$A$5:$B$64,2,0),""))</f>
        <v/>
      </c>
      <c r="E191" s="17"/>
      <c r="F191" s="17"/>
      <c r="G191" s="17"/>
      <c r="H191" s="17"/>
      <c r="I191" s="19"/>
      <c r="J191" s="23" t="str">
        <f>IF(AND(ISNUMBER(E191),ISNUMBER(F191)),IF(F191&gt;0,E191/F191,""),"")</f>
        <v/>
      </c>
      <c r="K191" s="23" t="str">
        <f>IF(AND(ISNUMBER(G191),ISNUMBER(H191)),IF(H191&gt;0,G191/H191,""),"")</f>
        <v/>
      </c>
      <c r="L191" s="24" t="str">
        <f>IF(AND(ISNUMBER(J191),ISNUMBER(K191)),IF(J191&gt;0,K191/J191,""),"")</f>
        <v/>
      </c>
    </row>
    <row r="192" spans="1:12" x14ac:dyDescent="0.25">
      <c r="A192" s="18"/>
      <c r="B192" s="21"/>
      <c r="C192" s="19"/>
      <c r="D192" s="23" t="str">
        <f>IF(B192="","",IFERROR(VLOOKUP(B192,Frentes!$A$5:$B$64,2,0),""))</f>
        <v/>
      </c>
      <c r="E192" s="17"/>
      <c r="F192" s="17"/>
      <c r="G192" s="17"/>
      <c r="H192" s="17"/>
      <c r="I192" s="19"/>
      <c r="J192" s="23" t="str">
        <f>IF(AND(ISNUMBER(E192),ISNUMBER(F192)),IF(F192&gt;0,E192/F192,""),"")</f>
        <v/>
      </c>
      <c r="K192" s="23" t="str">
        <f>IF(AND(ISNUMBER(G192),ISNUMBER(H192)),IF(H192&gt;0,G192/H192,""),"")</f>
        <v/>
      </c>
      <c r="L192" s="24" t="str">
        <f>IF(AND(ISNUMBER(J192),ISNUMBER(K192)),IF(J192&gt;0,K192/J192,""),"")</f>
        <v/>
      </c>
    </row>
    <row r="193" spans="1:12" x14ac:dyDescent="0.25">
      <c r="A193" s="18"/>
      <c r="B193" s="21"/>
      <c r="C193" s="19"/>
      <c r="D193" s="23" t="str">
        <f>IF(B193="","",IFERROR(VLOOKUP(B193,Frentes!$A$5:$B$64,2,0),""))</f>
        <v/>
      </c>
      <c r="E193" s="17"/>
      <c r="F193" s="17"/>
      <c r="G193" s="17"/>
      <c r="H193" s="17"/>
      <c r="I193" s="19"/>
      <c r="J193" s="23" t="str">
        <f>IF(AND(ISNUMBER(E193),ISNUMBER(F193)),IF(F193&gt;0,E193/F193,""),"")</f>
        <v/>
      </c>
      <c r="K193" s="23" t="str">
        <f>IF(AND(ISNUMBER(G193),ISNUMBER(H193)),IF(H193&gt;0,G193/H193,""),"")</f>
        <v/>
      </c>
      <c r="L193" s="24" t="str">
        <f>IF(AND(ISNUMBER(J193),ISNUMBER(K193)),IF(J193&gt;0,K193/J193,""),"")</f>
        <v/>
      </c>
    </row>
    <row r="194" spans="1:12" x14ac:dyDescent="0.25">
      <c r="A194" s="18"/>
      <c r="B194" s="21"/>
      <c r="C194" s="19"/>
      <c r="D194" s="23" t="str">
        <f>IF(B194="","",IFERROR(VLOOKUP(B194,Frentes!$A$5:$B$64,2,0),""))</f>
        <v/>
      </c>
      <c r="E194" s="17"/>
      <c r="F194" s="17"/>
      <c r="G194" s="17"/>
      <c r="H194" s="17"/>
      <c r="I194" s="19"/>
      <c r="J194" s="23" t="str">
        <f>IF(AND(ISNUMBER(E194),ISNUMBER(F194)),IF(F194&gt;0,E194/F194,""),"")</f>
        <v/>
      </c>
      <c r="K194" s="23" t="str">
        <f>IF(AND(ISNUMBER(G194),ISNUMBER(H194)),IF(H194&gt;0,G194/H194,""),"")</f>
        <v/>
      </c>
      <c r="L194" s="24" t="str">
        <f>IF(AND(ISNUMBER(J194),ISNUMBER(K194)),IF(J194&gt;0,K194/J194,""),"")</f>
        <v/>
      </c>
    </row>
    <row r="195" spans="1:12" x14ac:dyDescent="0.25">
      <c r="A195" s="18"/>
      <c r="B195" s="21"/>
      <c r="C195" s="19"/>
      <c r="D195" s="23" t="str">
        <f>IF(B195="","",IFERROR(VLOOKUP(B195,Frentes!$A$5:$B$64,2,0),""))</f>
        <v/>
      </c>
      <c r="E195" s="17"/>
      <c r="F195" s="17"/>
      <c r="G195" s="17"/>
      <c r="H195" s="17"/>
      <c r="I195" s="19"/>
      <c r="J195" s="23" t="str">
        <f>IF(AND(ISNUMBER(E195),ISNUMBER(F195)),IF(F195&gt;0,E195/F195,""),"")</f>
        <v/>
      </c>
      <c r="K195" s="23" t="str">
        <f>IF(AND(ISNUMBER(G195),ISNUMBER(H195)),IF(H195&gt;0,G195/H195,""),"")</f>
        <v/>
      </c>
      <c r="L195" s="24" t="str">
        <f>IF(AND(ISNUMBER(J195),ISNUMBER(K195)),IF(J195&gt;0,K195/J195,""),"")</f>
        <v/>
      </c>
    </row>
    <row r="196" spans="1:12" x14ac:dyDescent="0.25">
      <c r="A196" s="18"/>
      <c r="B196" s="21"/>
      <c r="C196" s="19"/>
      <c r="D196" s="23" t="str">
        <f>IF(B196="","",IFERROR(VLOOKUP(B196,Frentes!$A$5:$B$64,2,0),""))</f>
        <v/>
      </c>
      <c r="E196" s="17"/>
      <c r="F196" s="17"/>
      <c r="G196" s="17"/>
      <c r="H196" s="17"/>
      <c r="I196" s="19"/>
      <c r="J196" s="23" t="str">
        <f>IF(AND(ISNUMBER(E196),ISNUMBER(F196)),IF(F196&gt;0,E196/F196,""),"")</f>
        <v/>
      </c>
      <c r="K196" s="23" t="str">
        <f>IF(AND(ISNUMBER(G196),ISNUMBER(H196)),IF(H196&gt;0,G196/H196,""),"")</f>
        <v/>
      </c>
      <c r="L196" s="24" t="str">
        <f>IF(AND(ISNUMBER(J196),ISNUMBER(K196)),IF(J196&gt;0,K196/J196,""),"")</f>
        <v/>
      </c>
    </row>
    <row r="197" spans="1:12" x14ac:dyDescent="0.25">
      <c r="A197" s="18"/>
      <c r="B197" s="21"/>
      <c r="C197" s="19"/>
      <c r="D197" s="23" t="str">
        <f>IF(B197="","",IFERROR(VLOOKUP(B197,Frentes!$A$5:$B$64,2,0),""))</f>
        <v/>
      </c>
      <c r="E197" s="17"/>
      <c r="F197" s="17"/>
      <c r="G197" s="17"/>
      <c r="H197" s="17"/>
      <c r="I197" s="19"/>
      <c r="J197" s="23" t="str">
        <f>IF(AND(ISNUMBER(E197),ISNUMBER(F197)),IF(F197&gt;0,E197/F197,""),"")</f>
        <v/>
      </c>
      <c r="K197" s="23" t="str">
        <f>IF(AND(ISNUMBER(G197),ISNUMBER(H197)),IF(H197&gt;0,G197/H197,""),"")</f>
        <v/>
      </c>
      <c r="L197" s="24" t="str">
        <f>IF(AND(ISNUMBER(J197),ISNUMBER(K197)),IF(J197&gt;0,K197/J197,""),"")</f>
        <v/>
      </c>
    </row>
    <row r="198" spans="1:12" x14ac:dyDescent="0.25">
      <c r="A198" s="18"/>
      <c r="B198" s="21"/>
      <c r="C198" s="19"/>
      <c r="D198" s="23" t="str">
        <f>IF(B198="","",IFERROR(VLOOKUP(B198,Frentes!$A$5:$B$64,2,0),""))</f>
        <v/>
      </c>
      <c r="E198" s="17"/>
      <c r="F198" s="17"/>
      <c r="G198" s="17"/>
      <c r="H198" s="17"/>
      <c r="I198" s="19"/>
      <c r="J198" s="23" t="str">
        <f>IF(AND(ISNUMBER(E198),ISNUMBER(F198)),IF(F198&gt;0,E198/F198,""),"")</f>
        <v/>
      </c>
      <c r="K198" s="23" t="str">
        <f>IF(AND(ISNUMBER(G198),ISNUMBER(H198)),IF(H198&gt;0,G198/H198,""),"")</f>
        <v/>
      </c>
      <c r="L198" s="24" t="str">
        <f>IF(AND(ISNUMBER(J198),ISNUMBER(K198)),IF(J198&gt;0,K198/J198,""),"")</f>
        <v/>
      </c>
    </row>
    <row r="199" spans="1:12" x14ac:dyDescent="0.25">
      <c r="A199" s="18"/>
      <c r="B199" s="21"/>
      <c r="C199" s="19"/>
      <c r="D199" s="23" t="str">
        <f>IF(B199="","",IFERROR(VLOOKUP(B199,Frentes!$A$5:$B$64,2,0),""))</f>
        <v/>
      </c>
      <c r="E199" s="17"/>
      <c r="F199" s="17"/>
      <c r="G199" s="17"/>
      <c r="H199" s="17"/>
      <c r="I199" s="19"/>
      <c r="J199" s="23" t="str">
        <f>IF(AND(ISNUMBER(E199),ISNUMBER(F199)),IF(F199&gt;0,E199/F199,""),"")</f>
        <v/>
      </c>
      <c r="K199" s="23" t="str">
        <f>IF(AND(ISNUMBER(G199),ISNUMBER(H199)),IF(H199&gt;0,G199/H199,""),"")</f>
        <v/>
      </c>
      <c r="L199" s="24" t="str">
        <f>IF(AND(ISNUMBER(J199),ISNUMBER(K199)),IF(J199&gt;0,K199/J199,""),"")</f>
        <v/>
      </c>
    </row>
    <row r="200" spans="1:12" x14ac:dyDescent="0.25">
      <c r="A200" s="18"/>
      <c r="B200" s="21"/>
      <c r="C200" s="19"/>
      <c r="D200" s="23" t="str">
        <f>IF(B200="","",IFERROR(VLOOKUP(B200,Frentes!$A$5:$B$64,2,0),""))</f>
        <v/>
      </c>
      <c r="E200" s="17"/>
      <c r="F200" s="17"/>
      <c r="G200" s="17"/>
      <c r="H200" s="17"/>
      <c r="I200" s="19"/>
      <c r="J200" s="23" t="str">
        <f>IF(AND(ISNUMBER(E200),ISNUMBER(F200)),IF(F200&gt;0,E200/F200,""),"")</f>
        <v/>
      </c>
      <c r="K200" s="23" t="str">
        <f>IF(AND(ISNUMBER(G200),ISNUMBER(H200)),IF(H200&gt;0,G200/H200,""),"")</f>
        <v/>
      </c>
      <c r="L200" s="24" t="str">
        <f>IF(AND(ISNUMBER(J200),ISNUMBER(K200)),IF(J200&gt;0,K200/J200,""),"")</f>
        <v/>
      </c>
    </row>
    <row r="201" spans="1:12" x14ac:dyDescent="0.25">
      <c r="A201" s="18"/>
      <c r="B201" s="21"/>
      <c r="C201" s="19"/>
      <c r="D201" s="23" t="str">
        <f>IF(B201="","",IFERROR(VLOOKUP(B201,Frentes!$A$5:$B$64,2,0),""))</f>
        <v/>
      </c>
      <c r="E201" s="17"/>
      <c r="F201" s="17"/>
      <c r="G201" s="17"/>
      <c r="H201" s="17"/>
      <c r="I201" s="19"/>
      <c r="J201" s="23" t="str">
        <f>IF(AND(ISNUMBER(E201),ISNUMBER(F201)),IF(F201&gt;0,E201/F201,""),"")</f>
        <v/>
      </c>
      <c r="K201" s="23" t="str">
        <f>IF(AND(ISNUMBER(G201),ISNUMBER(H201)),IF(H201&gt;0,G201/H201,""),"")</f>
        <v/>
      </c>
      <c r="L201" s="24" t="str">
        <f>IF(AND(ISNUMBER(J201),ISNUMBER(K201)),IF(J201&gt;0,K201/J201,""),"")</f>
        <v/>
      </c>
    </row>
    <row r="202" spans="1:12" x14ac:dyDescent="0.25">
      <c r="A202" s="18"/>
      <c r="B202" s="21"/>
      <c r="C202" s="19"/>
      <c r="D202" s="23" t="str">
        <f>IF(B202="","",IFERROR(VLOOKUP(B202,Frentes!$A$5:$B$64,2,0),""))</f>
        <v/>
      </c>
      <c r="E202" s="17"/>
      <c r="F202" s="17"/>
      <c r="G202" s="17"/>
      <c r="H202" s="17"/>
      <c r="I202" s="19"/>
      <c r="J202" s="23" t="str">
        <f>IF(AND(ISNUMBER(E202),ISNUMBER(F202)),IF(F202&gt;0,E202/F202,""),"")</f>
        <v/>
      </c>
      <c r="K202" s="23" t="str">
        <f>IF(AND(ISNUMBER(G202),ISNUMBER(H202)),IF(H202&gt;0,G202/H202,""),"")</f>
        <v/>
      </c>
      <c r="L202" s="24" t="str">
        <f>IF(AND(ISNUMBER(J202),ISNUMBER(K202)),IF(J202&gt;0,K202/J202,""),"")</f>
        <v/>
      </c>
    </row>
    <row r="203" spans="1:12" x14ac:dyDescent="0.25">
      <c r="A203" s="18"/>
      <c r="B203" s="21"/>
      <c r="C203" s="19"/>
      <c r="D203" s="23" t="str">
        <f>IF(B203="","",IFERROR(VLOOKUP(B203,Frentes!$A$5:$B$64,2,0),""))</f>
        <v/>
      </c>
      <c r="E203" s="17"/>
      <c r="F203" s="17"/>
      <c r="G203" s="17"/>
      <c r="H203" s="17"/>
      <c r="I203" s="19"/>
      <c r="J203" s="23" t="str">
        <f>IF(AND(ISNUMBER(E203),ISNUMBER(F203)),IF(F203&gt;0,E203/F203,""),"")</f>
        <v/>
      </c>
      <c r="K203" s="23" t="str">
        <f>IF(AND(ISNUMBER(G203),ISNUMBER(H203)),IF(H203&gt;0,G203/H203,""),"")</f>
        <v/>
      </c>
      <c r="L203" s="24" t="str">
        <f>IF(AND(ISNUMBER(J203),ISNUMBER(K203)),IF(J203&gt;0,K203/J203,""),"")</f>
        <v/>
      </c>
    </row>
    <row r="204" spans="1:12" x14ac:dyDescent="0.25">
      <c r="A204" s="18"/>
      <c r="B204" s="21"/>
      <c r="C204" s="19"/>
      <c r="D204" s="23" t="str">
        <f>IF(B204="","",IFERROR(VLOOKUP(B204,Frentes!$A$5:$B$64,2,0),""))</f>
        <v/>
      </c>
      <c r="E204" s="17"/>
      <c r="F204" s="17"/>
      <c r="G204" s="17"/>
      <c r="H204" s="17"/>
      <c r="I204" s="19"/>
      <c r="J204" s="23" t="str">
        <f>IF(AND(ISNUMBER(E204),ISNUMBER(F204)),IF(F204&gt;0,E204/F204,""),"")</f>
        <v/>
      </c>
      <c r="K204" s="23" t="str">
        <f>IF(AND(ISNUMBER(G204),ISNUMBER(H204)),IF(H204&gt;0,G204/H204,""),"")</f>
        <v/>
      </c>
      <c r="L204" s="24" t="str">
        <f>IF(AND(ISNUMBER(J204),ISNUMBER(K204)),IF(J204&gt;0,K204/J204,""),"")</f>
        <v/>
      </c>
    </row>
    <row r="205" spans="1:12" x14ac:dyDescent="0.25">
      <c r="A205" s="18"/>
      <c r="B205" s="21"/>
      <c r="C205" s="19"/>
      <c r="D205" s="23" t="str">
        <f>IF(B205="","",IFERROR(VLOOKUP(B205,Frentes!$A$5:$B$64,2,0),""))</f>
        <v/>
      </c>
      <c r="E205" s="17"/>
      <c r="F205" s="17"/>
      <c r="G205" s="17"/>
      <c r="H205" s="17"/>
      <c r="I205" s="19"/>
      <c r="J205" s="23" t="str">
        <f>IF(AND(ISNUMBER(E205),ISNUMBER(F205)),IF(F205&gt;0,E205/F205,""),"")</f>
        <v/>
      </c>
      <c r="K205" s="23" t="str">
        <f>IF(AND(ISNUMBER(G205),ISNUMBER(H205)),IF(H205&gt;0,G205/H205,""),"")</f>
        <v/>
      </c>
      <c r="L205" s="24" t="str">
        <f>IF(AND(ISNUMBER(J205),ISNUMBER(K205)),IF(J205&gt;0,K205/J205,""),"")</f>
        <v/>
      </c>
    </row>
    <row r="206" spans="1:12" x14ac:dyDescent="0.25">
      <c r="A206" s="18"/>
      <c r="B206" s="21"/>
      <c r="C206" s="19"/>
      <c r="D206" s="23" t="str">
        <f>IF(B206="","",IFERROR(VLOOKUP(B206,Frentes!$A$5:$B$64,2,0),""))</f>
        <v/>
      </c>
      <c r="E206" s="17"/>
      <c r="F206" s="17"/>
      <c r="G206" s="17"/>
      <c r="H206" s="17"/>
      <c r="I206" s="19"/>
      <c r="J206" s="23" t="str">
        <f>IF(AND(ISNUMBER(E206),ISNUMBER(F206)),IF(F206&gt;0,E206/F206,""),"")</f>
        <v/>
      </c>
      <c r="K206" s="23" t="str">
        <f>IF(AND(ISNUMBER(G206),ISNUMBER(H206)),IF(H206&gt;0,G206/H206,""),"")</f>
        <v/>
      </c>
      <c r="L206" s="24" t="str">
        <f>IF(AND(ISNUMBER(J206),ISNUMBER(K206)),IF(J206&gt;0,K206/J206,""),"")</f>
        <v/>
      </c>
    </row>
    <row r="207" spans="1:12" x14ac:dyDescent="0.25">
      <c r="A207" s="18"/>
      <c r="B207" s="21"/>
      <c r="C207" s="19"/>
      <c r="D207" s="23" t="str">
        <f>IF(B207="","",IFERROR(VLOOKUP(B207,Frentes!$A$5:$B$64,2,0),""))</f>
        <v/>
      </c>
      <c r="E207" s="17"/>
      <c r="F207" s="17"/>
      <c r="G207" s="17"/>
      <c r="H207" s="17"/>
      <c r="I207" s="19"/>
      <c r="J207" s="23" t="str">
        <f>IF(AND(ISNUMBER(E207),ISNUMBER(F207)),IF(F207&gt;0,E207/F207,""),"")</f>
        <v/>
      </c>
      <c r="K207" s="23" t="str">
        <f>IF(AND(ISNUMBER(G207),ISNUMBER(H207)),IF(H207&gt;0,G207/H207,""),"")</f>
        <v/>
      </c>
      <c r="L207" s="24" t="str">
        <f>IF(AND(ISNUMBER(J207),ISNUMBER(K207)),IF(J207&gt;0,K207/J207,""),"")</f>
        <v/>
      </c>
    </row>
    <row r="208" spans="1:12" x14ac:dyDescent="0.25">
      <c r="A208" s="18"/>
      <c r="B208" s="21"/>
      <c r="C208" s="19"/>
      <c r="D208" s="23" t="str">
        <f>IF(B208="","",IFERROR(VLOOKUP(B208,Frentes!$A$5:$B$64,2,0),""))</f>
        <v/>
      </c>
      <c r="E208" s="17"/>
      <c r="F208" s="17"/>
      <c r="G208" s="17"/>
      <c r="H208" s="17"/>
      <c r="I208" s="19"/>
      <c r="J208" s="23" t="str">
        <f>IF(AND(ISNUMBER(E208),ISNUMBER(F208)),IF(F208&gt;0,E208/F208,""),"")</f>
        <v/>
      </c>
      <c r="K208" s="23" t="str">
        <f>IF(AND(ISNUMBER(G208),ISNUMBER(H208)),IF(H208&gt;0,G208/H208,""),"")</f>
        <v/>
      </c>
      <c r="L208" s="24" t="str">
        <f>IF(AND(ISNUMBER(J208),ISNUMBER(K208)),IF(J208&gt;0,K208/J208,""),"")</f>
        <v/>
      </c>
    </row>
    <row r="209" spans="1:12" x14ac:dyDescent="0.25">
      <c r="A209" s="18"/>
      <c r="B209" s="21"/>
      <c r="C209" s="19"/>
      <c r="D209" s="23" t="str">
        <f>IF(B209="","",IFERROR(VLOOKUP(B209,Frentes!$A$5:$B$64,2,0),""))</f>
        <v/>
      </c>
      <c r="E209" s="17"/>
      <c r="F209" s="17"/>
      <c r="G209" s="17"/>
      <c r="H209" s="17"/>
      <c r="I209" s="19"/>
      <c r="J209" s="23" t="str">
        <f>IF(AND(ISNUMBER(E209),ISNUMBER(F209)),IF(F209&gt;0,E209/F209,""),"")</f>
        <v/>
      </c>
      <c r="K209" s="23" t="str">
        <f>IF(AND(ISNUMBER(G209),ISNUMBER(H209)),IF(H209&gt;0,G209/H209,""),"")</f>
        <v/>
      </c>
      <c r="L209" s="24" t="str">
        <f>IF(AND(ISNUMBER(J209),ISNUMBER(K209)),IF(J209&gt;0,K209/J209,""),"")</f>
        <v/>
      </c>
    </row>
    <row r="210" spans="1:12" x14ac:dyDescent="0.25">
      <c r="A210" s="18"/>
      <c r="B210" s="21"/>
      <c r="C210" s="19"/>
      <c r="D210" s="23" t="str">
        <f>IF(B210="","",IFERROR(VLOOKUP(B210,Frentes!$A$5:$B$64,2,0),""))</f>
        <v/>
      </c>
      <c r="E210" s="17"/>
      <c r="F210" s="17"/>
      <c r="G210" s="17"/>
      <c r="H210" s="17"/>
      <c r="I210" s="19"/>
      <c r="J210" s="23" t="str">
        <f>IF(AND(ISNUMBER(E210),ISNUMBER(F210)),IF(F210&gt;0,E210/F210,""),"")</f>
        <v/>
      </c>
      <c r="K210" s="23" t="str">
        <f>IF(AND(ISNUMBER(G210),ISNUMBER(H210)),IF(H210&gt;0,G210/H210,""),"")</f>
        <v/>
      </c>
      <c r="L210" s="24" t="str">
        <f>IF(AND(ISNUMBER(J210),ISNUMBER(K210)),IF(J210&gt;0,K210/J210,""),"")</f>
        <v/>
      </c>
    </row>
    <row r="211" spans="1:12" x14ac:dyDescent="0.25">
      <c r="A211" s="18"/>
      <c r="B211" s="21"/>
      <c r="C211" s="19"/>
      <c r="D211" s="23" t="str">
        <f>IF(B211="","",IFERROR(VLOOKUP(B211,Frentes!$A$5:$B$64,2,0),""))</f>
        <v/>
      </c>
      <c r="E211" s="17"/>
      <c r="F211" s="17"/>
      <c r="G211" s="17"/>
      <c r="H211" s="17"/>
      <c r="I211" s="19"/>
      <c r="J211" s="23" t="str">
        <f>IF(AND(ISNUMBER(E211),ISNUMBER(F211)),IF(F211&gt;0,E211/F211,""),"")</f>
        <v/>
      </c>
      <c r="K211" s="23" t="str">
        <f>IF(AND(ISNUMBER(G211),ISNUMBER(H211)),IF(H211&gt;0,G211/H211,""),"")</f>
        <v/>
      </c>
      <c r="L211" s="24" t="str">
        <f>IF(AND(ISNUMBER(J211),ISNUMBER(K211)),IF(J211&gt;0,K211/J211,""),"")</f>
        <v/>
      </c>
    </row>
    <row r="212" spans="1:12" x14ac:dyDescent="0.25">
      <c r="A212" s="18"/>
      <c r="B212" s="21"/>
      <c r="C212" s="19"/>
      <c r="D212" s="23" t="str">
        <f>IF(B212="","",IFERROR(VLOOKUP(B212,Frentes!$A$5:$B$64,2,0),""))</f>
        <v/>
      </c>
      <c r="E212" s="17"/>
      <c r="F212" s="17"/>
      <c r="G212" s="17"/>
      <c r="H212" s="17"/>
      <c r="I212" s="19"/>
      <c r="J212" s="23" t="str">
        <f>IF(AND(ISNUMBER(E212),ISNUMBER(F212)),IF(F212&gt;0,E212/F212,""),"")</f>
        <v/>
      </c>
      <c r="K212" s="23" t="str">
        <f>IF(AND(ISNUMBER(G212),ISNUMBER(H212)),IF(H212&gt;0,G212/H212,""),"")</f>
        <v/>
      </c>
      <c r="L212" s="24" t="str">
        <f>IF(AND(ISNUMBER(J212),ISNUMBER(K212)),IF(J212&gt;0,K212/J212,""),"")</f>
        <v/>
      </c>
    </row>
    <row r="213" spans="1:12" x14ac:dyDescent="0.25">
      <c r="A213" s="18"/>
      <c r="B213" s="21"/>
      <c r="C213" s="19"/>
      <c r="D213" s="23" t="str">
        <f>IF(B213="","",IFERROR(VLOOKUP(B213,Frentes!$A$5:$B$64,2,0),""))</f>
        <v/>
      </c>
      <c r="E213" s="17"/>
      <c r="F213" s="17"/>
      <c r="G213" s="17"/>
      <c r="H213" s="17"/>
      <c r="I213" s="19"/>
      <c r="J213" s="23" t="str">
        <f>IF(AND(ISNUMBER(E213),ISNUMBER(F213)),IF(F213&gt;0,E213/F213,""),"")</f>
        <v/>
      </c>
      <c r="K213" s="23" t="str">
        <f>IF(AND(ISNUMBER(G213),ISNUMBER(H213)),IF(H213&gt;0,G213/H213,""),"")</f>
        <v/>
      </c>
      <c r="L213" s="24" t="str">
        <f>IF(AND(ISNUMBER(J213),ISNUMBER(K213)),IF(J213&gt;0,K213/J213,""),"")</f>
        <v/>
      </c>
    </row>
    <row r="214" spans="1:12" x14ac:dyDescent="0.25">
      <c r="A214" s="18"/>
      <c r="B214" s="21"/>
      <c r="C214" s="19"/>
      <c r="D214" s="23" t="str">
        <f>IF(B214="","",IFERROR(VLOOKUP(B214,Frentes!$A$5:$B$64,2,0),""))</f>
        <v/>
      </c>
      <c r="E214" s="17"/>
      <c r="F214" s="17"/>
      <c r="G214" s="17"/>
      <c r="H214" s="17"/>
      <c r="I214" s="19"/>
      <c r="J214" s="23" t="str">
        <f>IF(AND(ISNUMBER(E214),ISNUMBER(F214)),IF(F214&gt;0,E214/F214,""),"")</f>
        <v/>
      </c>
      <c r="K214" s="23" t="str">
        <f>IF(AND(ISNUMBER(G214),ISNUMBER(H214)),IF(H214&gt;0,G214/H214,""),"")</f>
        <v/>
      </c>
      <c r="L214" s="24" t="str">
        <f>IF(AND(ISNUMBER(J214),ISNUMBER(K214)),IF(J214&gt;0,K214/J214,""),"")</f>
        <v/>
      </c>
    </row>
    <row r="215" spans="1:12" x14ac:dyDescent="0.25">
      <c r="A215" s="18"/>
      <c r="B215" s="21"/>
      <c r="C215" s="19"/>
      <c r="D215" s="23" t="str">
        <f>IF(B215="","",IFERROR(VLOOKUP(B215,Frentes!$A$5:$B$64,2,0),""))</f>
        <v/>
      </c>
      <c r="E215" s="17"/>
      <c r="F215" s="17"/>
      <c r="G215" s="17"/>
      <c r="H215" s="17"/>
      <c r="I215" s="19"/>
      <c r="J215" s="23" t="str">
        <f>IF(AND(ISNUMBER(E215),ISNUMBER(F215)),IF(F215&gt;0,E215/F215,""),"")</f>
        <v/>
      </c>
      <c r="K215" s="23" t="str">
        <f>IF(AND(ISNUMBER(G215),ISNUMBER(H215)),IF(H215&gt;0,G215/H215,""),"")</f>
        <v/>
      </c>
      <c r="L215" s="24" t="str">
        <f>IF(AND(ISNUMBER(J215),ISNUMBER(K215)),IF(J215&gt;0,K215/J215,""),"")</f>
        <v/>
      </c>
    </row>
    <row r="216" spans="1:12" x14ac:dyDescent="0.25">
      <c r="A216" s="18"/>
      <c r="B216" s="21"/>
      <c r="C216" s="19"/>
      <c r="D216" s="23" t="str">
        <f>IF(B216="","",IFERROR(VLOOKUP(B216,Frentes!$A$5:$B$64,2,0),""))</f>
        <v/>
      </c>
      <c r="E216" s="17"/>
      <c r="F216" s="17"/>
      <c r="G216" s="17"/>
      <c r="H216" s="17"/>
      <c r="I216" s="19"/>
      <c r="J216" s="23" t="str">
        <f>IF(AND(ISNUMBER(E216),ISNUMBER(F216)),IF(F216&gt;0,E216/F216,""),"")</f>
        <v/>
      </c>
      <c r="K216" s="23" t="str">
        <f>IF(AND(ISNUMBER(G216),ISNUMBER(H216)),IF(H216&gt;0,G216/H216,""),"")</f>
        <v/>
      </c>
      <c r="L216" s="24" t="str">
        <f>IF(AND(ISNUMBER(J216),ISNUMBER(K216)),IF(J216&gt;0,K216/J216,""),"")</f>
        <v/>
      </c>
    </row>
    <row r="217" spans="1:12" x14ac:dyDescent="0.25">
      <c r="A217" s="18"/>
      <c r="B217" s="21"/>
      <c r="C217" s="19"/>
      <c r="D217" s="23" t="str">
        <f>IF(B217="","",IFERROR(VLOOKUP(B217,Frentes!$A$5:$B$64,2,0),""))</f>
        <v/>
      </c>
      <c r="E217" s="17"/>
      <c r="F217" s="17"/>
      <c r="G217" s="17"/>
      <c r="H217" s="17"/>
      <c r="I217" s="19"/>
      <c r="J217" s="23" t="str">
        <f>IF(AND(ISNUMBER(E217),ISNUMBER(F217)),IF(F217&gt;0,E217/F217,""),"")</f>
        <v/>
      </c>
      <c r="K217" s="23" t="str">
        <f>IF(AND(ISNUMBER(G217),ISNUMBER(H217)),IF(H217&gt;0,G217/H217,""),"")</f>
        <v/>
      </c>
      <c r="L217" s="24" t="str">
        <f>IF(AND(ISNUMBER(J217),ISNUMBER(K217)),IF(J217&gt;0,K217/J217,""),"")</f>
        <v/>
      </c>
    </row>
    <row r="218" spans="1:12" x14ac:dyDescent="0.25">
      <c r="A218" s="18"/>
      <c r="B218" s="21"/>
      <c r="C218" s="19"/>
      <c r="D218" s="23" t="str">
        <f>IF(B218="","",IFERROR(VLOOKUP(B218,Frentes!$A$5:$B$64,2,0),""))</f>
        <v/>
      </c>
      <c r="E218" s="17"/>
      <c r="F218" s="17"/>
      <c r="G218" s="17"/>
      <c r="H218" s="17"/>
      <c r="I218" s="19"/>
      <c r="J218" s="23" t="str">
        <f>IF(AND(ISNUMBER(E218),ISNUMBER(F218)),IF(F218&gt;0,E218/F218,""),"")</f>
        <v/>
      </c>
      <c r="K218" s="23" t="str">
        <f>IF(AND(ISNUMBER(G218),ISNUMBER(H218)),IF(H218&gt;0,G218/H218,""),"")</f>
        <v/>
      </c>
      <c r="L218" s="24" t="str">
        <f>IF(AND(ISNUMBER(J218),ISNUMBER(K218)),IF(J218&gt;0,K218/J218,""),"")</f>
        <v/>
      </c>
    </row>
    <row r="219" spans="1:12" x14ac:dyDescent="0.25">
      <c r="A219" s="18"/>
      <c r="B219" s="21"/>
      <c r="C219" s="19"/>
      <c r="D219" s="23" t="str">
        <f>IF(B219="","",IFERROR(VLOOKUP(B219,Frentes!$A$5:$B$64,2,0),""))</f>
        <v/>
      </c>
      <c r="E219" s="17"/>
      <c r="F219" s="17"/>
      <c r="G219" s="17"/>
      <c r="H219" s="17"/>
      <c r="I219" s="19"/>
      <c r="J219" s="23" t="str">
        <f>IF(AND(ISNUMBER(E219),ISNUMBER(F219)),IF(F219&gt;0,E219/F219,""),"")</f>
        <v/>
      </c>
      <c r="K219" s="23" t="str">
        <f>IF(AND(ISNUMBER(G219),ISNUMBER(H219)),IF(H219&gt;0,G219/H219,""),"")</f>
        <v/>
      </c>
      <c r="L219" s="24" t="str">
        <f>IF(AND(ISNUMBER(J219),ISNUMBER(K219)),IF(J219&gt;0,K219/J219,""),"")</f>
        <v/>
      </c>
    </row>
    <row r="220" spans="1:12" x14ac:dyDescent="0.25">
      <c r="A220" s="18"/>
      <c r="B220" s="21"/>
      <c r="C220" s="19"/>
      <c r="D220" s="23" t="str">
        <f>IF(B220="","",IFERROR(VLOOKUP(B220,Frentes!$A$5:$B$64,2,0),""))</f>
        <v/>
      </c>
      <c r="E220" s="17"/>
      <c r="F220" s="17"/>
      <c r="G220" s="17"/>
      <c r="H220" s="17"/>
      <c r="I220" s="19"/>
      <c r="J220" s="23" t="str">
        <f>IF(AND(ISNUMBER(E220),ISNUMBER(F220)),IF(F220&gt;0,E220/F220,""),"")</f>
        <v/>
      </c>
      <c r="K220" s="23" t="str">
        <f>IF(AND(ISNUMBER(G220),ISNUMBER(H220)),IF(H220&gt;0,G220/H220,""),"")</f>
        <v/>
      </c>
      <c r="L220" s="24" t="str">
        <f>IF(AND(ISNUMBER(J220),ISNUMBER(K220)),IF(J220&gt;0,K220/J220,""),"")</f>
        <v/>
      </c>
    </row>
    <row r="221" spans="1:12" x14ac:dyDescent="0.25">
      <c r="A221" s="18"/>
      <c r="B221" s="21"/>
      <c r="C221" s="19"/>
      <c r="D221" s="23" t="str">
        <f>IF(B221="","",IFERROR(VLOOKUP(B221,Frentes!$A$5:$B$64,2,0),""))</f>
        <v/>
      </c>
      <c r="E221" s="17"/>
      <c r="F221" s="17"/>
      <c r="G221" s="17"/>
      <c r="H221" s="17"/>
      <c r="I221" s="19"/>
      <c r="J221" s="23" t="str">
        <f>IF(AND(ISNUMBER(E221),ISNUMBER(F221)),IF(F221&gt;0,E221/F221,""),"")</f>
        <v/>
      </c>
      <c r="K221" s="23" t="str">
        <f>IF(AND(ISNUMBER(G221),ISNUMBER(H221)),IF(H221&gt;0,G221/H221,""),"")</f>
        <v/>
      </c>
      <c r="L221" s="24" t="str">
        <f>IF(AND(ISNUMBER(J221),ISNUMBER(K221)),IF(J221&gt;0,K221/J221,""),"")</f>
        <v/>
      </c>
    </row>
    <row r="222" spans="1:12" x14ac:dyDescent="0.25">
      <c r="A222" s="18"/>
      <c r="B222" s="21"/>
      <c r="C222" s="19"/>
      <c r="D222" s="23" t="str">
        <f>IF(B222="","",IFERROR(VLOOKUP(B222,Frentes!$A$5:$B$64,2,0),""))</f>
        <v/>
      </c>
      <c r="E222" s="17"/>
      <c r="F222" s="17"/>
      <c r="G222" s="17"/>
      <c r="H222" s="17"/>
      <c r="I222" s="19"/>
      <c r="J222" s="23" t="str">
        <f>IF(AND(ISNUMBER(E222),ISNUMBER(F222)),IF(F222&gt;0,E222/F222,""),"")</f>
        <v/>
      </c>
      <c r="K222" s="23" t="str">
        <f>IF(AND(ISNUMBER(G222),ISNUMBER(H222)),IF(H222&gt;0,G222/H222,""),"")</f>
        <v/>
      </c>
      <c r="L222" s="24" t="str">
        <f>IF(AND(ISNUMBER(J222),ISNUMBER(K222)),IF(J222&gt;0,K222/J222,""),"")</f>
        <v/>
      </c>
    </row>
    <row r="223" spans="1:12" x14ac:dyDescent="0.25">
      <c r="A223" s="18"/>
      <c r="B223" s="21"/>
      <c r="C223" s="19"/>
      <c r="D223" s="23" t="str">
        <f>IF(B223="","",IFERROR(VLOOKUP(B223,Frentes!$A$5:$B$64,2,0),""))</f>
        <v/>
      </c>
      <c r="E223" s="17"/>
      <c r="F223" s="17"/>
      <c r="G223" s="17"/>
      <c r="H223" s="17"/>
      <c r="I223" s="19"/>
      <c r="J223" s="23" t="str">
        <f>IF(AND(ISNUMBER(E223),ISNUMBER(F223)),IF(F223&gt;0,E223/F223,""),"")</f>
        <v/>
      </c>
      <c r="K223" s="23" t="str">
        <f>IF(AND(ISNUMBER(G223),ISNUMBER(H223)),IF(H223&gt;0,G223/H223,""),"")</f>
        <v/>
      </c>
      <c r="L223" s="24" t="str">
        <f>IF(AND(ISNUMBER(J223),ISNUMBER(K223)),IF(J223&gt;0,K223/J223,""),"")</f>
        <v/>
      </c>
    </row>
    <row r="224" spans="1:12" x14ac:dyDescent="0.25">
      <c r="A224" s="18"/>
      <c r="B224" s="21"/>
      <c r="C224" s="19"/>
      <c r="D224" s="23" t="str">
        <f>IF(B224="","",IFERROR(VLOOKUP(B224,Frentes!$A$5:$B$64,2,0),""))</f>
        <v/>
      </c>
      <c r="E224" s="17"/>
      <c r="F224" s="17"/>
      <c r="G224" s="17"/>
      <c r="H224" s="17"/>
      <c r="I224" s="19"/>
      <c r="J224" s="23" t="str">
        <f>IF(AND(ISNUMBER(E224),ISNUMBER(F224)),IF(F224&gt;0,E224/F224,""),"")</f>
        <v/>
      </c>
      <c r="K224" s="23" t="str">
        <f>IF(AND(ISNUMBER(G224),ISNUMBER(H224)),IF(H224&gt;0,G224/H224,""),"")</f>
        <v/>
      </c>
      <c r="L224" s="24" t="str">
        <f>IF(AND(ISNUMBER(J224),ISNUMBER(K224)),IF(J224&gt;0,K224/J224,""),"")</f>
        <v/>
      </c>
    </row>
    <row r="225" spans="1:12" x14ac:dyDescent="0.25">
      <c r="A225" s="18"/>
      <c r="B225" s="21"/>
      <c r="C225" s="19"/>
      <c r="D225" s="23" t="str">
        <f>IF(B225="","",IFERROR(VLOOKUP(B225,Frentes!$A$5:$B$64,2,0),""))</f>
        <v/>
      </c>
      <c r="E225" s="17"/>
      <c r="F225" s="17"/>
      <c r="G225" s="17"/>
      <c r="H225" s="17"/>
      <c r="I225" s="19"/>
      <c r="J225" s="23" t="str">
        <f>IF(AND(ISNUMBER(E225),ISNUMBER(F225)),IF(F225&gt;0,E225/F225,""),"")</f>
        <v/>
      </c>
      <c r="K225" s="23" t="str">
        <f>IF(AND(ISNUMBER(G225),ISNUMBER(H225)),IF(H225&gt;0,G225/H225,""),"")</f>
        <v/>
      </c>
      <c r="L225" s="24" t="str">
        <f>IF(AND(ISNUMBER(J225),ISNUMBER(K225)),IF(J225&gt;0,K225/J225,""),"")</f>
        <v/>
      </c>
    </row>
    <row r="226" spans="1:12" x14ac:dyDescent="0.25">
      <c r="A226" s="18"/>
      <c r="B226" s="21"/>
      <c r="C226" s="19"/>
      <c r="D226" s="23" t="str">
        <f>IF(B226="","",IFERROR(VLOOKUP(B226,Frentes!$A$5:$B$64,2,0),""))</f>
        <v/>
      </c>
      <c r="E226" s="17"/>
      <c r="F226" s="17"/>
      <c r="G226" s="17"/>
      <c r="H226" s="17"/>
      <c r="I226" s="19"/>
      <c r="J226" s="23" t="str">
        <f>IF(AND(ISNUMBER(E226),ISNUMBER(F226)),IF(F226&gt;0,E226/F226,""),"")</f>
        <v/>
      </c>
      <c r="K226" s="23" t="str">
        <f>IF(AND(ISNUMBER(G226),ISNUMBER(H226)),IF(H226&gt;0,G226/H226,""),"")</f>
        <v/>
      </c>
      <c r="L226" s="24" t="str">
        <f>IF(AND(ISNUMBER(J226),ISNUMBER(K226)),IF(J226&gt;0,K226/J226,""),"")</f>
        <v/>
      </c>
    </row>
    <row r="227" spans="1:12" x14ac:dyDescent="0.25">
      <c r="A227" s="18"/>
      <c r="B227" s="21"/>
      <c r="C227" s="19"/>
      <c r="D227" s="23" t="str">
        <f>IF(B227="","",IFERROR(VLOOKUP(B227,Frentes!$A$5:$B$64,2,0),""))</f>
        <v/>
      </c>
      <c r="E227" s="17"/>
      <c r="F227" s="17"/>
      <c r="G227" s="17"/>
      <c r="H227" s="17"/>
      <c r="I227" s="19"/>
      <c r="J227" s="23" t="str">
        <f>IF(AND(ISNUMBER(E227),ISNUMBER(F227)),IF(F227&gt;0,E227/F227,""),"")</f>
        <v/>
      </c>
      <c r="K227" s="23" t="str">
        <f>IF(AND(ISNUMBER(G227),ISNUMBER(H227)),IF(H227&gt;0,G227/H227,""),"")</f>
        <v/>
      </c>
      <c r="L227" s="24" t="str">
        <f>IF(AND(ISNUMBER(J227),ISNUMBER(K227)),IF(J227&gt;0,K227/J227,""),"")</f>
        <v/>
      </c>
    </row>
    <row r="228" spans="1:12" x14ac:dyDescent="0.25">
      <c r="A228" s="18"/>
      <c r="B228" s="21"/>
      <c r="C228" s="19"/>
      <c r="D228" s="23" t="str">
        <f>IF(B228="","",IFERROR(VLOOKUP(B228,Frentes!$A$5:$B$64,2,0),""))</f>
        <v/>
      </c>
      <c r="E228" s="17"/>
      <c r="F228" s="17"/>
      <c r="G228" s="17"/>
      <c r="H228" s="17"/>
      <c r="I228" s="19"/>
      <c r="J228" s="23" t="str">
        <f>IF(AND(ISNUMBER(E228),ISNUMBER(F228)),IF(F228&gt;0,E228/F228,""),"")</f>
        <v/>
      </c>
      <c r="K228" s="23" t="str">
        <f>IF(AND(ISNUMBER(G228),ISNUMBER(H228)),IF(H228&gt;0,G228/H228,""),"")</f>
        <v/>
      </c>
      <c r="L228" s="24" t="str">
        <f>IF(AND(ISNUMBER(J228),ISNUMBER(K228)),IF(J228&gt;0,K228/J228,""),"")</f>
        <v/>
      </c>
    </row>
    <row r="229" spans="1:12" x14ac:dyDescent="0.25">
      <c r="A229" s="18"/>
      <c r="B229" s="21"/>
      <c r="C229" s="19"/>
      <c r="D229" s="23" t="str">
        <f>IF(B229="","",IFERROR(VLOOKUP(B229,Frentes!$A$5:$B$64,2,0),""))</f>
        <v/>
      </c>
      <c r="E229" s="17"/>
      <c r="F229" s="17"/>
      <c r="G229" s="17"/>
      <c r="H229" s="17"/>
      <c r="I229" s="19"/>
      <c r="J229" s="23" t="str">
        <f>IF(AND(ISNUMBER(E229),ISNUMBER(F229)),IF(F229&gt;0,E229/F229,""),"")</f>
        <v/>
      </c>
      <c r="K229" s="23" t="str">
        <f>IF(AND(ISNUMBER(G229),ISNUMBER(H229)),IF(H229&gt;0,G229/H229,""),"")</f>
        <v/>
      </c>
      <c r="L229" s="24" t="str">
        <f>IF(AND(ISNUMBER(J229),ISNUMBER(K229)),IF(J229&gt;0,K229/J229,""),"")</f>
        <v/>
      </c>
    </row>
    <row r="230" spans="1:12" x14ac:dyDescent="0.25">
      <c r="A230" s="18"/>
      <c r="B230" s="21"/>
      <c r="C230" s="19"/>
      <c r="D230" s="23" t="str">
        <f>IF(B230="","",IFERROR(VLOOKUP(B230,Frentes!$A$5:$B$64,2,0),""))</f>
        <v/>
      </c>
      <c r="E230" s="17"/>
      <c r="F230" s="17"/>
      <c r="G230" s="17"/>
      <c r="H230" s="17"/>
      <c r="I230" s="19"/>
      <c r="J230" s="23" t="str">
        <f>IF(AND(ISNUMBER(E230),ISNUMBER(F230)),IF(F230&gt;0,E230/F230,""),"")</f>
        <v/>
      </c>
      <c r="K230" s="23" t="str">
        <f>IF(AND(ISNUMBER(G230),ISNUMBER(H230)),IF(H230&gt;0,G230/H230,""),"")</f>
        <v/>
      </c>
      <c r="L230" s="24" t="str">
        <f>IF(AND(ISNUMBER(J230),ISNUMBER(K230)),IF(J230&gt;0,K230/J230,""),"")</f>
        <v/>
      </c>
    </row>
    <row r="231" spans="1:12" x14ac:dyDescent="0.25">
      <c r="A231" s="18"/>
      <c r="B231" s="21"/>
      <c r="C231" s="19"/>
      <c r="D231" s="23" t="str">
        <f>IF(B231="","",IFERROR(VLOOKUP(B231,Frentes!$A$5:$B$64,2,0),""))</f>
        <v/>
      </c>
      <c r="E231" s="17"/>
      <c r="F231" s="17"/>
      <c r="G231" s="17"/>
      <c r="H231" s="17"/>
      <c r="I231" s="19"/>
      <c r="J231" s="23" t="str">
        <f>IF(AND(ISNUMBER(E231),ISNUMBER(F231)),IF(F231&gt;0,E231/F231,""),"")</f>
        <v/>
      </c>
      <c r="K231" s="23" t="str">
        <f>IF(AND(ISNUMBER(G231),ISNUMBER(H231)),IF(H231&gt;0,G231/H231,""),"")</f>
        <v/>
      </c>
      <c r="L231" s="24" t="str">
        <f>IF(AND(ISNUMBER(J231),ISNUMBER(K231)),IF(J231&gt;0,K231/J231,""),"")</f>
        <v/>
      </c>
    </row>
    <row r="232" spans="1:12" x14ac:dyDescent="0.25">
      <c r="A232" s="18"/>
      <c r="B232" s="21"/>
      <c r="C232" s="19"/>
      <c r="D232" s="23" t="str">
        <f>IF(B232="","",IFERROR(VLOOKUP(B232,Frentes!$A$5:$B$64,2,0),""))</f>
        <v/>
      </c>
      <c r="E232" s="17"/>
      <c r="F232" s="17"/>
      <c r="G232" s="17"/>
      <c r="H232" s="17"/>
      <c r="I232" s="19"/>
      <c r="J232" s="23" t="str">
        <f>IF(AND(ISNUMBER(E232),ISNUMBER(F232)),IF(F232&gt;0,E232/F232,""),"")</f>
        <v/>
      </c>
      <c r="K232" s="23" t="str">
        <f>IF(AND(ISNUMBER(G232),ISNUMBER(H232)),IF(H232&gt;0,G232/H232,""),"")</f>
        <v/>
      </c>
      <c r="L232" s="24" t="str">
        <f>IF(AND(ISNUMBER(J232),ISNUMBER(K232)),IF(J232&gt;0,K232/J232,""),"")</f>
        <v/>
      </c>
    </row>
    <row r="233" spans="1:12" x14ac:dyDescent="0.25">
      <c r="A233" s="18"/>
      <c r="B233" s="21"/>
      <c r="C233" s="19"/>
      <c r="D233" s="23" t="str">
        <f>IF(B233="","",IFERROR(VLOOKUP(B233,Frentes!$A$5:$B$64,2,0),""))</f>
        <v/>
      </c>
      <c r="E233" s="17"/>
      <c r="F233" s="17"/>
      <c r="G233" s="17"/>
      <c r="H233" s="17"/>
      <c r="I233" s="19"/>
      <c r="J233" s="23" t="str">
        <f>IF(AND(ISNUMBER(E233),ISNUMBER(F233)),IF(F233&gt;0,E233/F233,""),"")</f>
        <v/>
      </c>
      <c r="K233" s="23" t="str">
        <f>IF(AND(ISNUMBER(G233),ISNUMBER(H233)),IF(H233&gt;0,G233/H233,""),"")</f>
        <v/>
      </c>
      <c r="L233" s="24" t="str">
        <f>IF(AND(ISNUMBER(J233),ISNUMBER(K233)),IF(J233&gt;0,K233/J233,""),"")</f>
        <v/>
      </c>
    </row>
    <row r="234" spans="1:12" x14ac:dyDescent="0.25">
      <c r="A234" s="18"/>
      <c r="B234" s="21"/>
      <c r="C234" s="19"/>
      <c r="D234" s="23" t="str">
        <f>IF(B234="","",IFERROR(VLOOKUP(B234,Frentes!$A$5:$B$64,2,0),""))</f>
        <v/>
      </c>
      <c r="E234" s="17"/>
      <c r="F234" s="17"/>
      <c r="G234" s="17"/>
      <c r="H234" s="17"/>
      <c r="I234" s="19"/>
      <c r="J234" s="23" t="str">
        <f>IF(AND(ISNUMBER(E234),ISNUMBER(F234)),IF(F234&gt;0,E234/F234,""),"")</f>
        <v/>
      </c>
      <c r="K234" s="23" t="str">
        <f>IF(AND(ISNUMBER(G234),ISNUMBER(H234)),IF(H234&gt;0,G234/H234,""),"")</f>
        <v/>
      </c>
      <c r="L234" s="24" t="str">
        <f>IF(AND(ISNUMBER(J234),ISNUMBER(K234)),IF(J234&gt;0,K234/J234,""),"")</f>
        <v/>
      </c>
    </row>
    <row r="235" spans="1:12" x14ac:dyDescent="0.25">
      <c r="A235" s="18"/>
      <c r="B235" s="21"/>
      <c r="C235" s="19"/>
      <c r="D235" s="23" t="str">
        <f>IF(B235="","",IFERROR(VLOOKUP(B235,Frentes!$A$5:$B$64,2,0),""))</f>
        <v/>
      </c>
      <c r="E235" s="17"/>
      <c r="F235" s="17"/>
      <c r="G235" s="17"/>
      <c r="H235" s="17"/>
      <c r="I235" s="19"/>
      <c r="J235" s="23" t="str">
        <f>IF(AND(ISNUMBER(E235),ISNUMBER(F235)),IF(F235&gt;0,E235/F235,""),"")</f>
        <v/>
      </c>
      <c r="K235" s="23" t="str">
        <f>IF(AND(ISNUMBER(G235),ISNUMBER(H235)),IF(H235&gt;0,G235/H235,""),"")</f>
        <v/>
      </c>
      <c r="L235" s="24" t="str">
        <f>IF(AND(ISNUMBER(J235),ISNUMBER(K235)),IF(J235&gt;0,K235/J235,""),"")</f>
        <v/>
      </c>
    </row>
    <row r="236" spans="1:12" x14ac:dyDescent="0.25">
      <c r="A236" s="18"/>
      <c r="B236" s="21"/>
      <c r="C236" s="19"/>
      <c r="D236" s="23" t="str">
        <f>IF(B236="","",IFERROR(VLOOKUP(B236,Frentes!$A$5:$B$64,2,0),""))</f>
        <v/>
      </c>
      <c r="E236" s="17"/>
      <c r="F236" s="17"/>
      <c r="G236" s="17"/>
      <c r="H236" s="17"/>
      <c r="I236" s="19"/>
      <c r="J236" s="23" t="str">
        <f>IF(AND(ISNUMBER(E236),ISNUMBER(F236)),IF(F236&gt;0,E236/F236,""),"")</f>
        <v/>
      </c>
      <c r="K236" s="23" t="str">
        <f>IF(AND(ISNUMBER(G236),ISNUMBER(H236)),IF(H236&gt;0,G236/H236,""),"")</f>
        <v/>
      </c>
      <c r="L236" s="24" t="str">
        <f>IF(AND(ISNUMBER(J236),ISNUMBER(K236)),IF(J236&gt;0,K236/J236,""),"")</f>
        <v/>
      </c>
    </row>
    <row r="237" spans="1:12" x14ac:dyDescent="0.25">
      <c r="A237" s="18"/>
      <c r="B237" s="21"/>
      <c r="C237" s="19"/>
      <c r="D237" s="23" t="str">
        <f>IF(B237="","",IFERROR(VLOOKUP(B237,Frentes!$A$5:$B$64,2,0),""))</f>
        <v/>
      </c>
      <c r="E237" s="17"/>
      <c r="F237" s="17"/>
      <c r="G237" s="17"/>
      <c r="H237" s="17"/>
      <c r="I237" s="19"/>
      <c r="J237" s="23" t="str">
        <f>IF(AND(ISNUMBER(E237),ISNUMBER(F237)),IF(F237&gt;0,E237/F237,""),"")</f>
        <v/>
      </c>
      <c r="K237" s="23" t="str">
        <f>IF(AND(ISNUMBER(G237),ISNUMBER(H237)),IF(H237&gt;0,G237/H237,""),"")</f>
        <v/>
      </c>
      <c r="L237" s="24" t="str">
        <f>IF(AND(ISNUMBER(J237),ISNUMBER(K237)),IF(J237&gt;0,K237/J237,""),"")</f>
        <v/>
      </c>
    </row>
    <row r="238" spans="1:12" x14ac:dyDescent="0.25">
      <c r="A238" s="18"/>
      <c r="B238" s="21"/>
      <c r="C238" s="19"/>
      <c r="D238" s="23" t="str">
        <f>IF(B238="","",IFERROR(VLOOKUP(B238,Frentes!$A$5:$B$64,2,0),""))</f>
        <v/>
      </c>
      <c r="E238" s="17"/>
      <c r="F238" s="17"/>
      <c r="G238" s="17"/>
      <c r="H238" s="17"/>
      <c r="I238" s="19"/>
      <c r="J238" s="23" t="str">
        <f>IF(AND(ISNUMBER(E238),ISNUMBER(F238)),IF(F238&gt;0,E238/F238,""),"")</f>
        <v/>
      </c>
      <c r="K238" s="23" t="str">
        <f>IF(AND(ISNUMBER(G238),ISNUMBER(H238)),IF(H238&gt;0,G238/H238,""),"")</f>
        <v/>
      </c>
      <c r="L238" s="24" t="str">
        <f>IF(AND(ISNUMBER(J238),ISNUMBER(K238)),IF(J238&gt;0,K238/J238,""),"")</f>
        <v/>
      </c>
    </row>
    <row r="239" spans="1:12" x14ac:dyDescent="0.25">
      <c r="A239" s="18"/>
      <c r="B239" s="21"/>
      <c r="C239" s="19"/>
      <c r="D239" s="23" t="str">
        <f>IF(B239="","",IFERROR(VLOOKUP(B239,Frentes!$A$5:$B$64,2,0),""))</f>
        <v/>
      </c>
      <c r="E239" s="17"/>
      <c r="F239" s="17"/>
      <c r="G239" s="17"/>
      <c r="H239" s="17"/>
      <c r="I239" s="19"/>
      <c r="J239" s="23" t="str">
        <f>IF(AND(ISNUMBER(E239),ISNUMBER(F239)),IF(F239&gt;0,E239/F239,""),"")</f>
        <v/>
      </c>
      <c r="K239" s="23" t="str">
        <f>IF(AND(ISNUMBER(G239),ISNUMBER(H239)),IF(H239&gt;0,G239/H239,""),"")</f>
        <v/>
      </c>
      <c r="L239" s="24" t="str">
        <f>IF(AND(ISNUMBER(J239),ISNUMBER(K239)),IF(J239&gt;0,K239/J239,""),"")</f>
        <v/>
      </c>
    </row>
    <row r="240" spans="1:12" x14ac:dyDescent="0.25">
      <c r="A240" s="18"/>
      <c r="B240" s="21"/>
      <c r="C240" s="19"/>
      <c r="D240" s="23" t="str">
        <f>IF(B240="","",IFERROR(VLOOKUP(B240,Frentes!$A$5:$B$64,2,0),""))</f>
        <v/>
      </c>
      <c r="E240" s="17"/>
      <c r="F240" s="17"/>
      <c r="G240" s="17"/>
      <c r="H240" s="17"/>
      <c r="I240" s="19"/>
      <c r="J240" s="23" t="str">
        <f>IF(AND(ISNUMBER(E240),ISNUMBER(F240)),IF(F240&gt;0,E240/F240,""),"")</f>
        <v/>
      </c>
      <c r="K240" s="23" t="str">
        <f>IF(AND(ISNUMBER(G240),ISNUMBER(H240)),IF(H240&gt;0,G240/H240,""),"")</f>
        <v/>
      </c>
      <c r="L240" s="24" t="str">
        <f>IF(AND(ISNUMBER(J240),ISNUMBER(K240)),IF(J240&gt;0,K240/J240,""),"")</f>
        <v/>
      </c>
    </row>
    <row r="241" spans="1:12" x14ac:dyDescent="0.25">
      <c r="A241" s="18"/>
      <c r="B241" s="21"/>
      <c r="C241" s="19"/>
      <c r="D241" s="23" t="str">
        <f>IF(B241="","",IFERROR(VLOOKUP(B241,Frentes!$A$5:$B$64,2,0),""))</f>
        <v/>
      </c>
      <c r="E241" s="17"/>
      <c r="F241" s="17"/>
      <c r="G241" s="17"/>
      <c r="H241" s="17"/>
      <c r="I241" s="19"/>
      <c r="J241" s="23" t="str">
        <f>IF(AND(ISNUMBER(E241),ISNUMBER(F241)),IF(F241&gt;0,E241/F241,""),"")</f>
        <v/>
      </c>
      <c r="K241" s="23" t="str">
        <f>IF(AND(ISNUMBER(G241),ISNUMBER(H241)),IF(H241&gt;0,G241/H241,""),"")</f>
        <v/>
      </c>
      <c r="L241" s="24" t="str">
        <f>IF(AND(ISNUMBER(J241),ISNUMBER(K241)),IF(J241&gt;0,K241/J241,""),"")</f>
        <v/>
      </c>
    </row>
    <row r="242" spans="1:12" x14ac:dyDescent="0.25">
      <c r="A242" s="18"/>
      <c r="B242" s="21"/>
      <c r="C242" s="19"/>
      <c r="D242" s="23" t="str">
        <f>IF(B242="","",IFERROR(VLOOKUP(B242,Frentes!$A$5:$B$64,2,0),""))</f>
        <v/>
      </c>
      <c r="E242" s="17"/>
      <c r="F242" s="17"/>
      <c r="G242" s="17"/>
      <c r="H242" s="17"/>
      <c r="I242" s="19"/>
      <c r="J242" s="23" t="str">
        <f>IF(AND(ISNUMBER(E242),ISNUMBER(F242)),IF(F242&gt;0,E242/F242,""),"")</f>
        <v/>
      </c>
      <c r="K242" s="23" t="str">
        <f>IF(AND(ISNUMBER(G242),ISNUMBER(H242)),IF(H242&gt;0,G242/H242,""),"")</f>
        <v/>
      </c>
      <c r="L242" s="24" t="str">
        <f>IF(AND(ISNUMBER(J242),ISNUMBER(K242)),IF(J242&gt;0,K242/J242,""),"")</f>
        <v/>
      </c>
    </row>
    <row r="243" spans="1:12" x14ac:dyDescent="0.25">
      <c r="A243" s="18"/>
      <c r="B243" s="21"/>
      <c r="C243" s="19"/>
      <c r="D243" s="23" t="str">
        <f>IF(B243="","",IFERROR(VLOOKUP(B243,Frentes!$A$5:$B$64,2,0),""))</f>
        <v/>
      </c>
      <c r="E243" s="17"/>
      <c r="F243" s="17"/>
      <c r="G243" s="17"/>
      <c r="H243" s="17"/>
      <c r="I243" s="19"/>
      <c r="J243" s="23" t="str">
        <f>IF(AND(ISNUMBER(E243),ISNUMBER(F243)),IF(F243&gt;0,E243/F243,""),"")</f>
        <v/>
      </c>
      <c r="K243" s="23" t="str">
        <f>IF(AND(ISNUMBER(G243),ISNUMBER(H243)),IF(H243&gt;0,G243/H243,""),"")</f>
        <v/>
      </c>
      <c r="L243" s="24" t="str">
        <f>IF(AND(ISNUMBER(J243),ISNUMBER(K243)),IF(J243&gt;0,K243/J243,""),"")</f>
        <v/>
      </c>
    </row>
    <row r="244" spans="1:12" x14ac:dyDescent="0.25">
      <c r="A244" s="18"/>
      <c r="B244" s="21"/>
      <c r="C244" s="19"/>
      <c r="D244" s="23" t="str">
        <f>IF(B244="","",IFERROR(VLOOKUP(B244,Frentes!$A$5:$B$64,2,0),""))</f>
        <v/>
      </c>
      <c r="E244" s="17"/>
      <c r="F244" s="17"/>
      <c r="G244" s="17"/>
      <c r="H244" s="17"/>
      <c r="I244" s="19"/>
      <c r="J244" s="23" t="str">
        <f>IF(AND(ISNUMBER(E244),ISNUMBER(F244)),IF(F244&gt;0,E244/F244,""),"")</f>
        <v/>
      </c>
      <c r="K244" s="23" t="str">
        <f>IF(AND(ISNUMBER(G244),ISNUMBER(H244)),IF(H244&gt;0,G244/H244,""),"")</f>
        <v/>
      </c>
      <c r="L244" s="24" t="str">
        <f>IF(AND(ISNUMBER(J244),ISNUMBER(K244)),IF(J244&gt;0,K244/J244,""),"")</f>
        <v/>
      </c>
    </row>
    <row r="245" spans="1:12" x14ac:dyDescent="0.25">
      <c r="A245" s="18"/>
      <c r="B245" s="21"/>
      <c r="C245" s="19"/>
      <c r="D245" s="23" t="str">
        <f>IF(B245="","",IFERROR(VLOOKUP(B245,Frentes!$A$5:$B$64,2,0),""))</f>
        <v/>
      </c>
      <c r="E245" s="17"/>
      <c r="F245" s="17"/>
      <c r="G245" s="17"/>
      <c r="H245" s="17"/>
      <c r="I245" s="19"/>
      <c r="J245" s="23" t="str">
        <f>IF(AND(ISNUMBER(E245),ISNUMBER(F245)),IF(F245&gt;0,E245/F245,""),"")</f>
        <v/>
      </c>
      <c r="K245" s="23" t="str">
        <f>IF(AND(ISNUMBER(G245),ISNUMBER(H245)),IF(H245&gt;0,G245/H245,""),"")</f>
        <v/>
      </c>
      <c r="L245" s="24" t="str">
        <f>IF(AND(ISNUMBER(J245),ISNUMBER(K245)),IF(J245&gt;0,K245/J245,""),"")</f>
        <v/>
      </c>
    </row>
    <row r="246" spans="1:12" x14ac:dyDescent="0.25">
      <c r="A246" s="18"/>
      <c r="B246" s="21"/>
      <c r="C246" s="19"/>
      <c r="D246" s="23" t="str">
        <f>IF(B246="","",IFERROR(VLOOKUP(B246,Frentes!$A$5:$B$64,2,0),""))</f>
        <v/>
      </c>
      <c r="E246" s="17"/>
      <c r="F246" s="17"/>
      <c r="G246" s="17"/>
      <c r="H246" s="17"/>
      <c r="I246" s="19"/>
      <c r="J246" s="23" t="str">
        <f>IF(AND(ISNUMBER(E246),ISNUMBER(F246)),IF(F246&gt;0,E246/F246,""),"")</f>
        <v/>
      </c>
      <c r="K246" s="23" t="str">
        <f>IF(AND(ISNUMBER(G246),ISNUMBER(H246)),IF(H246&gt;0,G246/H246,""),"")</f>
        <v/>
      </c>
      <c r="L246" s="24" t="str">
        <f>IF(AND(ISNUMBER(J246),ISNUMBER(K246)),IF(J246&gt;0,K246/J246,""),"")</f>
        <v/>
      </c>
    </row>
    <row r="247" spans="1:12" x14ac:dyDescent="0.25">
      <c r="A247" s="18"/>
      <c r="B247" s="21"/>
      <c r="C247" s="19"/>
      <c r="D247" s="23" t="str">
        <f>IF(B247="","",IFERROR(VLOOKUP(B247,Frentes!$A$5:$B$64,2,0),""))</f>
        <v/>
      </c>
      <c r="E247" s="17"/>
      <c r="F247" s="17"/>
      <c r="G247" s="17"/>
      <c r="H247" s="17"/>
      <c r="I247" s="19"/>
      <c r="J247" s="23" t="str">
        <f>IF(AND(ISNUMBER(E247),ISNUMBER(F247)),IF(F247&gt;0,E247/F247,""),"")</f>
        <v/>
      </c>
      <c r="K247" s="23" t="str">
        <f>IF(AND(ISNUMBER(G247),ISNUMBER(H247)),IF(H247&gt;0,G247/H247,""),"")</f>
        <v/>
      </c>
      <c r="L247" s="24" t="str">
        <f>IF(AND(ISNUMBER(J247),ISNUMBER(K247)),IF(J247&gt;0,K247/J247,""),"")</f>
        <v/>
      </c>
    </row>
    <row r="248" spans="1:12" x14ac:dyDescent="0.25">
      <c r="A248" s="18"/>
      <c r="B248" s="21"/>
      <c r="C248" s="19"/>
      <c r="D248" s="23" t="str">
        <f>IF(B248="","",IFERROR(VLOOKUP(B248,Frentes!$A$5:$B$64,2,0),""))</f>
        <v/>
      </c>
      <c r="E248" s="17"/>
      <c r="F248" s="17"/>
      <c r="G248" s="17"/>
      <c r="H248" s="17"/>
      <c r="I248" s="19"/>
      <c r="J248" s="23" t="str">
        <f>IF(AND(ISNUMBER(E248),ISNUMBER(F248)),IF(F248&gt;0,E248/F248,""),"")</f>
        <v/>
      </c>
      <c r="K248" s="23" t="str">
        <f>IF(AND(ISNUMBER(G248),ISNUMBER(H248)),IF(H248&gt;0,G248/H248,""),"")</f>
        <v/>
      </c>
      <c r="L248" s="24" t="str">
        <f>IF(AND(ISNUMBER(J248),ISNUMBER(K248)),IF(J248&gt;0,K248/J248,""),"")</f>
        <v/>
      </c>
    </row>
    <row r="249" spans="1:12" x14ac:dyDescent="0.25">
      <c r="A249" s="18"/>
      <c r="B249" s="21"/>
      <c r="C249" s="19"/>
      <c r="D249" s="23" t="str">
        <f>IF(B249="","",IFERROR(VLOOKUP(B249,Frentes!$A$5:$B$64,2,0),""))</f>
        <v/>
      </c>
      <c r="E249" s="17"/>
      <c r="F249" s="17"/>
      <c r="G249" s="17"/>
      <c r="H249" s="17"/>
      <c r="I249" s="19"/>
      <c r="J249" s="23" t="str">
        <f>IF(AND(ISNUMBER(E249),ISNUMBER(F249)),IF(F249&gt;0,E249/F249,""),"")</f>
        <v/>
      </c>
      <c r="K249" s="23" t="str">
        <f>IF(AND(ISNUMBER(G249),ISNUMBER(H249)),IF(H249&gt;0,G249/H249,""),"")</f>
        <v/>
      </c>
      <c r="L249" s="24" t="str">
        <f>IF(AND(ISNUMBER(J249),ISNUMBER(K249)),IF(J249&gt;0,K249/J249,""),"")</f>
        <v/>
      </c>
    </row>
    <row r="250" spans="1:12" x14ac:dyDescent="0.25">
      <c r="A250" s="18"/>
      <c r="B250" s="21"/>
      <c r="C250" s="19"/>
      <c r="D250" s="23" t="str">
        <f>IF(B250="","",IFERROR(VLOOKUP(B250,Frentes!$A$5:$B$64,2,0),""))</f>
        <v/>
      </c>
      <c r="E250" s="17"/>
      <c r="F250" s="17"/>
      <c r="G250" s="17"/>
      <c r="H250" s="17"/>
      <c r="I250" s="19"/>
      <c r="J250" s="23" t="str">
        <f>IF(AND(ISNUMBER(E250),ISNUMBER(F250)),IF(F250&gt;0,E250/F250,""),"")</f>
        <v/>
      </c>
      <c r="K250" s="23" t="str">
        <f>IF(AND(ISNUMBER(G250),ISNUMBER(H250)),IF(H250&gt;0,G250/H250,""),"")</f>
        <v/>
      </c>
      <c r="L250" s="24" t="str">
        <f>IF(AND(ISNUMBER(J250),ISNUMBER(K250)),IF(J250&gt;0,K250/J250,""),"")</f>
        <v/>
      </c>
    </row>
    <row r="251" spans="1:12" x14ac:dyDescent="0.25">
      <c r="A251" s="18"/>
      <c r="B251" s="21"/>
      <c r="C251" s="19"/>
      <c r="D251" s="23" t="str">
        <f>IF(B251="","",IFERROR(VLOOKUP(B251,Frentes!$A$5:$B$64,2,0),""))</f>
        <v/>
      </c>
      <c r="E251" s="17"/>
      <c r="F251" s="17"/>
      <c r="G251" s="17"/>
      <c r="H251" s="17"/>
      <c r="I251" s="19"/>
      <c r="J251" s="23" t="str">
        <f>IF(AND(ISNUMBER(E251),ISNUMBER(F251)),IF(F251&gt;0,E251/F251,""),"")</f>
        <v/>
      </c>
      <c r="K251" s="23" t="str">
        <f>IF(AND(ISNUMBER(G251),ISNUMBER(H251)),IF(H251&gt;0,G251/H251,""),"")</f>
        <v/>
      </c>
      <c r="L251" s="24" t="str">
        <f>IF(AND(ISNUMBER(J251),ISNUMBER(K251)),IF(J251&gt;0,K251/J251,""),"")</f>
        <v/>
      </c>
    </row>
    <row r="252" spans="1:12" x14ac:dyDescent="0.25">
      <c r="A252" s="18"/>
      <c r="B252" s="21"/>
      <c r="C252" s="19"/>
      <c r="D252" s="23" t="str">
        <f>IF(B252="","",IFERROR(VLOOKUP(B252,Frentes!$A$5:$B$64,2,0),""))</f>
        <v/>
      </c>
      <c r="E252" s="17"/>
      <c r="F252" s="17"/>
      <c r="G252" s="17"/>
      <c r="H252" s="17"/>
      <c r="I252" s="19"/>
      <c r="J252" s="23" t="str">
        <f>IF(AND(ISNUMBER(E252),ISNUMBER(F252)),IF(F252&gt;0,E252/F252,""),"")</f>
        <v/>
      </c>
      <c r="K252" s="23" t="str">
        <f>IF(AND(ISNUMBER(G252),ISNUMBER(H252)),IF(H252&gt;0,G252/H252,""),"")</f>
        <v/>
      </c>
      <c r="L252" s="24" t="str">
        <f>IF(AND(ISNUMBER(J252),ISNUMBER(K252)),IF(J252&gt;0,K252/J252,""),"")</f>
        <v/>
      </c>
    </row>
    <row r="253" spans="1:12" x14ac:dyDescent="0.25">
      <c r="A253" s="18"/>
      <c r="B253" s="21"/>
      <c r="C253" s="19"/>
      <c r="D253" s="23" t="str">
        <f>IF(B253="","",IFERROR(VLOOKUP(B253,Frentes!$A$5:$B$64,2,0),""))</f>
        <v/>
      </c>
      <c r="E253" s="17"/>
      <c r="F253" s="17"/>
      <c r="G253" s="17"/>
      <c r="H253" s="17"/>
      <c r="I253" s="19"/>
      <c r="J253" s="23" t="str">
        <f>IF(AND(ISNUMBER(E253),ISNUMBER(F253)),IF(F253&gt;0,E253/F253,""),"")</f>
        <v/>
      </c>
      <c r="K253" s="23" t="str">
        <f>IF(AND(ISNUMBER(G253),ISNUMBER(H253)),IF(H253&gt;0,G253/H253,""),"")</f>
        <v/>
      </c>
      <c r="L253" s="24" t="str">
        <f>IF(AND(ISNUMBER(J253),ISNUMBER(K253)),IF(J253&gt;0,K253/J253,""),"")</f>
        <v/>
      </c>
    </row>
    <row r="254" spans="1:12" x14ac:dyDescent="0.25">
      <c r="A254" s="18"/>
      <c r="B254" s="21"/>
      <c r="C254" s="19"/>
      <c r="D254" s="23" t="str">
        <f>IF(B254="","",IFERROR(VLOOKUP(B254,Frentes!$A$5:$B$64,2,0),""))</f>
        <v/>
      </c>
      <c r="E254" s="17"/>
      <c r="F254" s="17"/>
      <c r="G254" s="17"/>
      <c r="H254" s="17"/>
      <c r="I254" s="19"/>
      <c r="J254" s="23" t="str">
        <f>IF(AND(ISNUMBER(E254),ISNUMBER(F254)),IF(F254&gt;0,E254/F254,""),"")</f>
        <v/>
      </c>
      <c r="K254" s="23" t="str">
        <f>IF(AND(ISNUMBER(G254),ISNUMBER(H254)),IF(H254&gt;0,G254/H254,""),"")</f>
        <v/>
      </c>
      <c r="L254" s="24" t="str">
        <f>IF(AND(ISNUMBER(J254),ISNUMBER(K254)),IF(J254&gt;0,K254/J254,""),"")</f>
        <v/>
      </c>
    </row>
    <row r="255" spans="1:12" x14ac:dyDescent="0.25">
      <c r="A255" s="18"/>
      <c r="B255" s="21"/>
      <c r="C255" s="19"/>
      <c r="D255" s="23" t="str">
        <f>IF(B255="","",IFERROR(VLOOKUP(B255,Frentes!$A$5:$B$64,2,0),""))</f>
        <v/>
      </c>
      <c r="E255" s="17"/>
      <c r="F255" s="17"/>
      <c r="G255" s="17"/>
      <c r="H255" s="17"/>
      <c r="I255" s="19"/>
      <c r="J255" s="23" t="str">
        <f>IF(AND(ISNUMBER(E255),ISNUMBER(F255)),IF(F255&gt;0,E255/F255,""),"")</f>
        <v/>
      </c>
      <c r="K255" s="23" t="str">
        <f>IF(AND(ISNUMBER(G255),ISNUMBER(H255)),IF(H255&gt;0,G255/H255,""),"")</f>
        <v/>
      </c>
      <c r="L255" s="24" t="str">
        <f>IF(AND(ISNUMBER(J255),ISNUMBER(K255)),IF(J255&gt;0,K255/J255,""),"")</f>
        <v/>
      </c>
    </row>
    <row r="256" spans="1:12" x14ac:dyDescent="0.25">
      <c r="A256" s="18"/>
      <c r="B256" s="21"/>
      <c r="C256" s="19"/>
      <c r="D256" s="23" t="str">
        <f>IF(B256="","",IFERROR(VLOOKUP(B256,Frentes!$A$5:$B$64,2,0),""))</f>
        <v/>
      </c>
      <c r="E256" s="17"/>
      <c r="F256" s="17"/>
      <c r="G256" s="17"/>
      <c r="H256" s="17"/>
      <c r="I256" s="19"/>
      <c r="J256" s="23" t="str">
        <f>IF(AND(ISNUMBER(E256),ISNUMBER(F256)),IF(F256&gt;0,E256/F256,""),"")</f>
        <v/>
      </c>
      <c r="K256" s="23" t="str">
        <f>IF(AND(ISNUMBER(G256),ISNUMBER(H256)),IF(H256&gt;0,G256/H256,""),"")</f>
        <v/>
      </c>
      <c r="L256" s="24" t="str">
        <f>IF(AND(ISNUMBER(J256),ISNUMBER(K256)),IF(J256&gt;0,K256/J256,""),"")</f>
        <v/>
      </c>
    </row>
    <row r="257" spans="1:12" x14ac:dyDescent="0.25">
      <c r="A257" s="18"/>
      <c r="B257" s="21"/>
      <c r="C257" s="19"/>
      <c r="D257" s="23" t="str">
        <f>IF(B257="","",IFERROR(VLOOKUP(B257,Frentes!$A$5:$B$64,2,0),""))</f>
        <v/>
      </c>
      <c r="E257" s="17"/>
      <c r="F257" s="17"/>
      <c r="G257" s="17"/>
      <c r="H257" s="17"/>
      <c r="I257" s="19"/>
      <c r="J257" s="23" t="str">
        <f>IF(AND(ISNUMBER(E257),ISNUMBER(F257)),IF(F257&gt;0,E257/F257,""),"")</f>
        <v/>
      </c>
      <c r="K257" s="23" t="str">
        <f>IF(AND(ISNUMBER(G257),ISNUMBER(H257)),IF(H257&gt;0,G257/H257,""),"")</f>
        <v/>
      </c>
      <c r="L257" s="24" t="str">
        <f>IF(AND(ISNUMBER(J257),ISNUMBER(K257)),IF(J257&gt;0,K257/J257,""),"")</f>
        <v/>
      </c>
    </row>
    <row r="258" spans="1:12" x14ac:dyDescent="0.25">
      <c r="A258" s="18"/>
      <c r="B258" s="21"/>
      <c r="C258" s="19"/>
      <c r="D258" s="23" t="str">
        <f>IF(B258="","",IFERROR(VLOOKUP(B258,Frentes!$A$5:$B$64,2,0),""))</f>
        <v/>
      </c>
      <c r="E258" s="17"/>
      <c r="F258" s="17"/>
      <c r="G258" s="17"/>
      <c r="H258" s="17"/>
      <c r="I258" s="19"/>
      <c r="J258" s="23" t="str">
        <f>IF(AND(ISNUMBER(E258),ISNUMBER(F258)),IF(F258&gt;0,E258/F258,""),"")</f>
        <v/>
      </c>
      <c r="K258" s="23" t="str">
        <f>IF(AND(ISNUMBER(G258),ISNUMBER(H258)),IF(H258&gt;0,G258/H258,""),"")</f>
        <v/>
      </c>
      <c r="L258" s="24" t="str">
        <f>IF(AND(ISNUMBER(J258),ISNUMBER(K258)),IF(J258&gt;0,K258/J258,""),"")</f>
        <v/>
      </c>
    </row>
    <row r="259" spans="1:12" x14ac:dyDescent="0.25">
      <c r="A259" s="18"/>
      <c r="B259" s="21"/>
      <c r="C259" s="19"/>
      <c r="D259" s="23" t="str">
        <f>IF(B259="","",IFERROR(VLOOKUP(B259,Frentes!$A$5:$B$64,2,0),""))</f>
        <v/>
      </c>
      <c r="E259" s="17"/>
      <c r="F259" s="17"/>
      <c r="G259" s="17"/>
      <c r="H259" s="17"/>
      <c r="I259" s="19"/>
      <c r="J259" s="23" t="str">
        <f>IF(AND(ISNUMBER(E259),ISNUMBER(F259)),IF(F259&gt;0,E259/F259,""),"")</f>
        <v/>
      </c>
      <c r="K259" s="23" t="str">
        <f>IF(AND(ISNUMBER(G259),ISNUMBER(H259)),IF(H259&gt;0,G259/H259,""),"")</f>
        <v/>
      </c>
      <c r="L259" s="24" t="str">
        <f>IF(AND(ISNUMBER(J259),ISNUMBER(K259)),IF(J259&gt;0,K259/J259,""),"")</f>
        <v/>
      </c>
    </row>
    <row r="260" spans="1:12" x14ac:dyDescent="0.25">
      <c r="A260" s="18"/>
      <c r="B260" s="21"/>
      <c r="C260" s="19"/>
      <c r="D260" s="23" t="str">
        <f>IF(B260="","",IFERROR(VLOOKUP(B260,Frentes!$A$5:$B$64,2,0),""))</f>
        <v/>
      </c>
      <c r="E260" s="17"/>
      <c r="F260" s="17"/>
      <c r="G260" s="17"/>
      <c r="H260" s="17"/>
      <c r="I260" s="19"/>
      <c r="J260" s="23" t="str">
        <f>IF(AND(ISNUMBER(E260),ISNUMBER(F260)),IF(F260&gt;0,E260/F260,""),"")</f>
        <v/>
      </c>
      <c r="K260" s="23" t="str">
        <f>IF(AND(ISNUMBER(G260),ISNUMBER(H260)),IF(H260&gt;0,G260/H260,""),"")</f>
        <v/>
      </c>
      <c r="L260" s="24" t="str">
        <f>IF(AND(ISNUMBER(J260),ISNUMBER(K260)),IF(J260&gt;0,K260/J260,""),"")</f>
        <v/>
      </c>
    </row>
    <row r="261" spans="1:12" x14ac:dyDescent="0.25">
      <c r="A261" s="18"/>
      <c r="B261" s="21"/>
      <c r="C261" s="19"/>
      <c r="D261" s="23" t="str">
        <f>IF(B261="","",IFERROR(VLOOKUP(B261,Frentes!$A$5:$B$64,2,0),""))</f>
        <v/>
      </c>
      <c r="E261" s="17"/>
      <c r="F261" s="17"/>
      <c r="G261" s="17"/>
      <c r="H261" s="17"/>
      <c r="I261" s="19"/>
      <c r="J261" s="23" t="str">
        <f>IF(AND(ISNUMBER(E261),ISNUMBER(F261)),IF(F261&gt;0,E261/F261,""),"")</f>
        <v/>
      </c>
      <c r="K261" s="23" t="str">
        <f>IF(AND(ISNUMBER(G261),ISNUMBER(H261)),IF(H261&gt;0,G261/H261,""),"")</f>
        <v/>
      </c>
      <c r="L261" s="24" t="str">
        <f>IF(AND(ISNUMBER(J261),ISNUMBER(K261)),IF(J261&gt;0,K261/J261,""),"")</f>
        <v/>
      </c>
    </row>
    <row r="262" spans="1:12" x14ac:dyDescent="0.25">
      <c r="A262" s="18"/>
      <c r="B262" s="21"/>
      <c r="C262" s="19"/>
      <c r="D262" s="23" t="str">
        <f>IF(B262="","",IFERROR(VLOOKUP(B262,Frentes!$A$5:$B$64,2,0),""))</f>
        <v/>
      </c>
      <c r="E262" s="17"/>
      <c r="F262" s="17"/>
      <c r="G262" s="17"/>
      <c r="H262" s="17"/>
      <c r="I262" s="19"/>
      <c r="J262" s="23" t="str">
        <f>IF(AND(ISNUMBER(E262),ISNUMBER(F262)),IF(F262&gt;0,E262/F262,""),"")</f>
        <v/>
      </c>
      <c r="K262" s="23" t="str">
        <f>IF(AND(ISNUMBER(G262),ISNUMBER(H262)),IF(H262&gt;0,G262/H262,""),"")</f>
        <v/>
      </c>
      <c r="L262" s="24" t="str">
        <f>IF(AND(ISNUMBER(J262),ISNUMBER(K262)),IF(J262&gt;0,K262/J262,""),"")</f>
        <v/>
      </c>
    </row>
    <row r="263" spans="1:12" x14ac:dyDescent="0.25">
      <c r="A263" s="18"/>
      <c r="B263" s="21"/>
      <c r="C263" s="19"/>
      <c r="D263" s="23" t="str">
        <f>IF(B263="","",IFERROR(VLOOKUP(B263,Frentes!$A$5:$B$64,2,0),""))</f>
        <v/>
      </c>
      <c r="E263" s="17"/>
      <c r="F263" s="17"/>
      <c r="G263" s="17"/>
      <c r="H263" s="17"/>
      <c r="I263" s="19"/>
      <c r="J263" s="23" t="str">
        <f>IF(AND(ISNUMBER(E263),ISNUMBER(F263)),IF(F263&gt;0,E263/F263,""),"")</f>
        <v/>
      </c>
      <c r="K263" s="23" t="str">
        <f>IF(AND(ISNUMBER(G263),ISNUMBER(H263)),IF(H263&gt;0,G263/H263,""),"")</f>
        <v/>
      </c>
      <c r="L263" s="24" t="str">
        <f>IF(AND(ISNUMBER(J263),ISNUMBER(K263)),IF(J263&gt;0,K263/J263,""),"")</f>
        <v/>
      </c>
    </row>
    <row r="264" spans="1:12" x14ac:dyDescent="0.25">
      <c r="A264" s="18"/>
      <c r="B264" s="21"/>
      <c r="C264" s="19"/>
      <c r="D264" s="23" t="str">
        <f>IF(B264="","",IFERROR(VLOOKUP(B264,Frentes!$A$5:$B$64,2,0),""))</f>
        <v/>
      </c>
      <c r="E264" s="17"/>
      <c r="F264" s="17"/>
      <c r="G264" s="17"/>
      <c r="H264" s="17"/>
      <c r="I264" s="19"/>
      <c r="J264" s="23" t="str">
        <f>IF(AND(ISNUMBER(E264),ISNUMBER(F264)),IF(F264&gt;0,E264/F264,""),"")</f>
        <v/>
      </c>
      <c r="K264" s="23" t="str">
        <f>IF(AND(ISNUMBER(G264),ISNUMBER(H264)),IF(H264&gt;0,G264/H264,""),"")</f>
        <v/>
      </c>
      <c r="L264" s="24" t="str">
        <f>IF(AND(ISNUMBER(J264),ISNUMBER(K264)),IF(J264&gt;0,K264/J264,""),"")</f>
        <v/>
      </c>
    </row>
    <row r="265" spans="1:12" x14ac:dyDescent="0.25">
      <c r="A265" s="18"/>
      <c r="B265" s="21"/>
      <c r="C265" s="19"/>
      <c r="D265" s="23" t="str">
        <f>IF(B265="","",IFERROR(VLOOKUP(B265,Frentes!$A$5:$B$64,2,0),""))</f>
        <v/>
      </c>
      <c r="E265" s="17"/>
      <c r="F265" s="17"/>
      <c r="G265" s="17"/>
      <c r="H265" s="17"/>
      <c r="I265" s="19"/>
      <c r="J265" s="23" t="str">
        <f>IF(AND(ISNUMBER(E265),ISNUMBER(F265)),IF(F265&gt;0,E265/F265,""),"")</f>
        <v/>
      </c>
      <c r="K265" s="23" t="str">
        <f>IF(AND(ISNUMBER(G265),ISNUMBER(H265)),IF(H265&gt;0,G265/H265,""),"")</f>
        <v/>
      </c>
      <c r="L265" s="24" t="str">
        <f>IF(AND(ISNUMBER(J265),ISNUMBER(K265)),IF(J265&gt;0,K265/J265,""),"")</f>
        <v/>
      </c>
    </row>
    <row r="266" spans="1:12" x14ac:dyDescent="0.25">
      <c r="A266" s="18"/>
      <c r="B266" s="21"/>
      <c r="C266" s="19"/>
      <c r="D266" s="23" t="str">
        <f>IF(B266="","",IFERROR(VLOOKUP(B266,Frentes!$A$5:$B$64,2,0),""))</f>
        <v/>
      </c>
      <c r="E266" s="17"/>
      <c r="F266" s="17"/>
      <c r="G266" s="17"/>
      <c r="H266" s="17"/>
      <c r="I266" s="19"/>
      <c r="J266" s="23" t="str">
        <f>IF(AND(ISNUMBER(E266),ISNUMBER(F266)),IF(F266&gt;0,E266/F266,""),"")</f>
        <v/>
      </c>
      <c r="K266" s="23" t="str">
        <f>IF(AND(ISNUMBER(G266),ISNUMBER(H266)),IF(H266&gt;0,G266/H266,""),"")</f>
        <v/>
      </c>
      <c r="L266" s="24" t="str">
        <f>IF(AND(ISNUMBER(J266),ISNUMBER(K266)),IF(J266&gt;0,K266/J266,""),"")</f>
        <v/>
      </c>
    </row>
    <row r="267" spans="1:12" x14ac:dyDescent="0.25">
      <c r="A267" s="18"/>
      <c r="B267" s="21"/>
      <c r="C267" s="19"/>
      <c r="D267" s="23" t="str">
        <f>IF(B267="","",IFERROR(VLOOKUP(B267,Frentes!$A$5:$B$64,2,0),""))</f>
        <v/>
      </c>
      <c r="E267" s="17"/>
      <c r="F267" s="17"/>
      <c r="G267" s="17"/>
      <c r="H267" s="17"/>
      <c r="I267" s="19"/>
      <c r="J267" s="23" t="str">
        <f>IF(AND(ISNUMBER(E267),ISNUMBER(F267)),IF(F267&gt;0,E267/F267,""),"")</f>
        <v/>
      </c>
      <c r="K267" s="23" t="str">
        <f>IF(AND(ISNUMBER(G267),ISNUMBER(H267)),IF(H267&gt;0,G267/H267,""),"")</f>
        <v/>
      </c>
      <c r="L267" s="24" t="str">
        <f>IF(AND(ISNUMBER(J267),ISNUMBER(K267)),IF(J267&gt;0,K267/J267,""),"")</f>
        <v/>
      </c>
    </row>
    <row r="268" spans="1:12" x14ac:dyDescent="0.25">
      <c r="A268" s="18"/>
      <c r="B268" s="21"/>
      <c r="C268" s="19"/>
      <c r="D268" s="23" t="str">
        <f>IF(B268="","",IFERROR(VLOOKUP(B268,Frentes!$A$5:$B$64,2,0),""))</f>
        <v/>
      </c>
      <c r="E268" s="17"/>
      <c r="F268" s="17"/>
      <c r="G268" s="17"/>
      <c r="H268" s="17"/>
      <c r="I268" s="19"/>
      <c r="J268" s="23" t="str">
        <f>IF(AND(ISNUMBER(E268),ISNUMBER(F268)),IF(F268&gt;0,E268/F268,""),"")</f>
        <v/>
      </c>
      <c r="K268" s="23" t="str">
        <f>IF(AND(ISNUMBER(G268),ISNUMBER(H268)),IF(H268&gt;0,G268/H268,""),"")</f>
        <v/>
      </c>
      <c r="L268" s="24" t="str">
        <f>IF(AND(ISNUMBER(J268),ISNUMBER(K268)),IF(J268&gt;0,K268/J268,""),"")</f>
        <v/>
      </c>
    </row>
    <row r="269" spans="1:12" x14ac:dyDescent="0.25">
      <c r="A269" s="18"/>
      <c r="B269" s="21"/>
      <c r="C269" s="19"/>
      <c r="D269" s="23" t="str">
        <f>IF(B269="","",IFERROR(VLOOKUP(B269,Frentes!$A$5:$B$64,2,0),""))</f>
        <v/>
      </c>
      <c r="E269" s="17"/>
      <c r="F269" s="17"/>
      <c r="G269" s="17"/>
      <c r="H269" s="17"/>
      <c r="I269" s="19"/>
      <c r="J269" s="23" t="str">
        <f>IF(AND(ISNUMBER(E269),ISNUMBER(F269)),IF(F269&gt;0,E269/F269,""),"")</f>
        <v/>
      </c>
      <c r="K269" s="23" t="str">
        <f>IF(AND(ISNUMBER(G269),ISNUMBER(H269)),IF(H269&gt;0,G269/H269,""),"")</f>
        <v/>
      </c>
      <c r="L269" s="24" t="str">
        <f>IF(AND(ISNUMBER(J269),ISNUMBER(K269)),IF(J269&gt;0,K269/J269,""),"")</f>
        <v/>
      </c>
    </row>
    <row r="270" spans="1:12" x14ac:dyDescent="0.25">
      <c r="A270" s="18"/>
      <c r="B270" s="21"/>
      <c r="C270" s="19"/>
      <c r="D270" s="23" t="str">
        <f>IF(B270="","",IFERROR(VLOOKUP(B270,Frentes!$A$5:$B$64,2,0),""))</f>
        <v/>
      </c>
      <c r="E270" s="17"/>
      <c r="F270" s="17"/>
      <c r="G270" s="17"/>
      <c r="H270" s="17"/>
      <c r="I270" s="19"/>
      <c r="J270" s="23" t="str">
        <f>IF(AND(ISNUMBER(E270),ISNUMBER(F270)),IF(F270&gt;0,E270/F270,""),"")</f>
        <v/>
      </c>
      <c r="K270" s="23" t="str">
        <f>IF(AND(ISNUMBER(G270),ISNUMBER(H270)),IF(H270&gt;0,G270/H270,""),"")</f>
        <v/>
      </c>
      <c r="L270" s="24" t="str">
        <f>IF(AND(ISNUMBER(J270),ISNUMBER(K270)),IF(J270&gt;0,K270/J270,""),"")</f>
        <v/>
      </c>
    </row>
    <row r="271" spans="1:12" x14ac:dyDescent="0.25">
      <c r="A271" s="18"/>
      <c r="B271" s="21"/>
      <c r="C271" s="19"/>
      <c r="D271" s="23" t="str">
        <f>IF(B271="","",IFERROR(VLOOKUP(B271,Frentes!$A$5:$B$64,2,0),""))</f>
        <v/>
      </c>
      <c r="E271" s="17"/>
      <c r="F271" s="17"/>
      <c r="G271" s="17"/>
      <c r="H271" s="17"/>
      <c r="I271" s="19"/>
      <c r="J271" s="23" t="str">
        <f>IF(AND(ISNUMBER(E271),ISNUMBER(F271)),IF(F271&gt;0,E271/F271,""),"")</f>
        <v/>
      </c>
      <c r="K271" s="23" t="str">
        <f>IF(AND(ISNUMBER(G271),ISNUMBER(H271)),IF(H271&gt;0,G271/H271,""),"")</f>
        <v/>
      </c>
      <c r="L271" s="24" t="str">
        <f>IF(AND(ISNUMBER(J271),ISNUMBER(K271)),IF(J271&gt;0,K271/J271,""),"")</f>
        <v/>
      </c>
    </row>
    <row r="272" spans="1:12" x14ac:dyDescent="0.25">
      <c r="A272" s="18"/>
      <c r="B272" s="21"/>
      <c r="C272" s="19"/>
      <c r="D272" s="23" t="str">
        <f>IF(B272="","",IFERROR(VLOOKUP(B272,Frentes!$A$5:$B$64,2,0),""))</f>
        <v/>
      </c>
      <c r="E272" s="17"/>
      <c r="F272" s="17"/>
      <c r="G272" s="17"/>
      <c r="H272" s="17"/>
      <c r="I272" s="19"/>
      <c r="J272" s="23" t="str">
        <f>IF(AND(ISNUMBER(E272),ISNUMBER(F272)),IF(F272&gt;0,E272/F272,""),"")</f>
        <v/>
      </c>
      <c r="K272" s="23" t="str">
        <f>IF(AND(ISNUMBER(G272),ISNUMBER(H272)),IF(H272&gt;0,G272/H272,""),"")</f>
        <v/>
      </c>
      <c r="L272" s="24" t="str">
        <f>IF(AND(ISNUMBER(J272),ISNUMBER(K272)),IF(J272&gt;0,K272/J272,""),"")</f>
        <v/>
      </c>
    </row>
    <row r="273" spans="1:12" x14ac:dyDescent="0.25">
      <c r="A273" s="18"/>
      <c r="B273" s="21"/>
      <c r="C273" s="19"/>
      <c r="D273" s="23" t="str">
        <f>IF(B273="","",IFERROR(VLOOKUP(B273,Frentes!$A$5:$B$64,2,0),""))</f>
        <v/>
      </c>
      <c r="E273" s="17"/>
      <c r="F273" s="17"/>
      <c r="G273" s="17"/>
      <c r="H273" s="17"/>
      <c r="I273" s="19"/>
      <c r="J273" s="23" t="str">
        <f>IF(AND(ISNUMBER(E273),ISNUMBER(F273)),IF(F273&gt;0,E273/F273,""),"")</f>
        <v/>
      </c>
      <c r="K273" s="23" t="str">
        <f>IF(AND(ISNUMBER(G273),ISNUMBER(H273)),IF(H273&gt;0,G273/H273,""),"")</f>
        <v/>
      </c>
      <c r="L273" s="24" t="str">
        <f>IF(AND(ISNUMBER(J273),ISNUMBER(K273)),IF(J273&gt;0,K273/J273,""),"")</f>
        <v/>
      </c>
    </row>
    <row r="274" spans="1:12" x14ac:dyDescent="0.25">
      <c r="A274" s="18"/>
      <c r="B274" s="21"/>
      <c r="C274" s="19"/>
      <c r="D274" s="23" t="str">
        <f>IF(B274="","",IFERROR(VLOOKUP(B274,Frentes!$A$5:$B$64,2,0),""))</f>
        <v/>
      </c>
      <c r="E274" s="17"/>
      <c r="F274" s="17"/>
      <c r="G274" s="17"/>
      <c r="H274" s="17"/>
      <c r="I274" s="19"/>
      <c r="J274" s="23" t="str">
        <f>IF(AND(ISNUMBER(E274),ISNUMBER(F274)),IF(F274&gt;0,E274/F274,""),"")</f>
        <v/>
      </c>
      <c r="K274" s="23" t="str">
        <f>IF(AND(ISNUMBER(G274),ISNUMBER(H274)),IF(H274&gt;0,G274/H274,""),"")</f>
        <v/>
      </c>
      <c r="L274" s="24" t="str">
        <f>IF(AND(ISNUMBER(J274),ISNUMBER(K274)),IF(J274&gt;0,K274/J274,""),"")</f>
        <v/>
      </c>
    </row>
    <row r="275" spans="1:12" x14ac:dyDescent="0.25">
      <c r="A275" s="18"/>
      <c r="B275" s="21"/>
      <c r="C275" s="19"/>
      <c r="D275" s="23" t="str">
        <f>IF(B275="","",IFERROR(VLOOKUP(B275,Frentes!$A$5:$B$64,2,0),""))</f>
        <v/>
      </c>
      <c r="E275" s="17"/>
      <c r="F275" s="17"/>
      <c r="G275" s="17"/>
      <c r="H275" s="17"/>
      <c r="I275" s="19"/>
      <c r="J275" s="23" t="str">
        <f>IF(AND(ISNUMBER(E275),ISNUMBER(F275)),IF(F275&gt;0,E275/F275,""),"")</f>
        <v/>
      </c>
      <c r="K275" s="23" t="str">
        <f>IF(AND(ISNUMBER(G275),ISNUMBER(H275)),IF(H275&gt;0,G275/H275,""),"")</f>
        <v/>
      </c>
      <c r="L275" s="24" t="str">
        <f>IF(AND(ISNUMBER(J275),ISNUMBER(K275)),IF(J275&gt;0,K275/J275,""),"")</f>
        <v/>
      </c>
    </row>
    <row r="276" spans="1:12" x14ac:dyDescent="0.25">
      <c r="A276" s="18"/>
      <c r="B276" s="21"/>
      <c r="C276" s="19"/>
      <c r="D276" s="23" t="str">
        <f>IF(B276="","",IFERROR(VLOOKUP(B276,Frentes!$A$5:$B$64,2,0),""))</f>
        <v/>
      </c>
      <c r="E276" s="17"/>
      <c r="F276" s="17"/>
      <c r="G276" s="17"/>
      <c r="H276" s="17"/>
      <c r="I276" s="19"/>
      <c r="J276" s="23" t="str">
        <f>IF(AND(ISNUMBER(E276),ISNUMBER(F276)),IF(F276&gt;0,E276/F276,""),"")</f>
        <v/>
      </c>
      <c r="K276" s="23" t="str">
        <f>IF(AND(ISNUMBER(G276),ISNUMBER(H276)),IF(H276&gt;0,G276/H276,""),"")</f>
        <v/>
      </c>
      <c r="L276" s="24" t="str">
        <f>IF(AND(ISNUMBER(J276),ISNUMBER(K276)),IF(J276&gt;0,K276/J276,""),"")</f>
        <v/>
      </c>
    </row>
    <row r="277" spans="1:12" x14ac:dyDescent="0.25">
      <c r="A277" s="18"/>
      <c r="B277" s="21"/>
      <c r="C277" s="19"/>
      <c r="D277" s="23" t="str">
        <f>IF(B277="","",IFERROR(VLOOKUP(B277,Frentes!$A$5:$B$64,2,0),""))</f>
        <v/>
      </c>
      <c r="E277" s="17"/>
      <c r="F277" s="17"/>
      <c r="G277" s="17"/>
      <c r="H277" s="17"/>
      <c r="I277" s="19"/>
      <c r="J277" s="23" t="str">
        <f>IF(AND(ISNUMBER(E277),ISNUMBER(F277)),IF(F277&gt;0,E277/F277,""),"")</f>
        <v/>
      </c>
      <c r="K277" s="23" t="str">
        <f>IF(AND(ISNUMBER(G277),ISNUMBER(H277)),IF(H277&gt;0,G277/H277,""),"")</f>
        <v/>
      </c>
      <c r="L277" s="24" t="str">
        <f>IF(AND(ISNUMBER(J277),ISNUMBER(K277)),IF(J277&gt;0,K277/J277,""),"")</f>
        <v/>
      </c>
    </row>
    <row r="278" spans="1:12" x14ac:dyDescent="0.25">
      <c r="A278" s="18"/>
      <c r="B278" s="21"/>
      <c r="C278" s="19"/>
      <c r="D278" s="23" t="str">
        <f>IF(B278="","",IFERROR(VLOOKUP(B278,Frentes!$A$5:$B$64,2,0),""))</f>
        <v/>
      </c>
      <c r="E278" s="17"/>
      <c r="F278" s="17"/>
      <c r="G278" s="17"/>
      <c r="H278" s="17"/>
      <c r="I278" s="19"/>
      <c r="J278" s="23" t="str">
        <f>IF(AND(ISNUMBER(E278),ISNUMBER(F278)),IF(F278&gt;0,E278/F278,""),"")</f>
        <v/>
      </c>
      <c r="K278" s="23" t="str">
        <f>IF(AND(ISNUMBER(G278),ISNUMBER(H278)),IF(H278&gt;0,G278/H278,""),"")</f>
        <v/>
      </c>
      <c r="L278" s="24" t="str">
        <f>IF(AND(ISNUMBER(J278),ISNUMBER(K278)),IF(J278&gt;0,K278/J278,""),"")</f>
        <v/>
      </c>
    </row>
    <row r="279" spans="1:12" x14ac:dyDescent="0.25">
      <c r="A279" s="18"/>
      <c r="B279" s="21"/>
      <c r="C279" s="19"/>
      <c r="D279" s="23" t="str">
        <f>IF(B279="","",IFERROR(VLOOKUP(B279,Frentes!$A$5:$B$64,2,0),""))</f>
        <v/>
      </c>
      <c r="E279" s="17"/>
      <c r="F279" s="17"/>
      <c r="G279" s="17"/>
      <c r="H279" s="17"/>
      <c r="I279" s="19"/>
      <c r="J279" s="23" t="str">
        <f>IF(AND(ISNUMBER(E279),ISNUMBER(F279)),IF(F279&gt;0,E279/F279,""),"")</f>
        <v/>
      </c>
      <c r="K279" s="23" t="str">
        <f>IF(AND(ISNUMBER(G279),ISNUMBER(H279)),IF(H279&gt;0,G279/H279,""),"")</f>
        <v/>
      </c>
      <c r="L279" s="24" t="str">
        <f>IF(AND(ISNUMBER(J279),ISNUMBER(K279)),IF(J279&gt;0,K279/J279,""),"")</f>
        <v/>
      </c>
    </row>
    <row r="280" spans="1:12" x14ac:dyDescent="0.25">
      <c r="A280" s="18"/>
      <c r="B280" s="21"/>
      <c r="C280" s="19"/>
      <c r="D280" s="23" t="str">
        <f>IF(B280="","",IFERROR(VLOOKUP(B280,Frentes!$A$5:$B$64,2,0),""))</f>
        <v/>
      </c>
      <c r="E280" s="17"/>
      <c r="F280" s="17"/>
      <c r="G280" s="17"/>
      <c r="H280" s="17"/>
      <c r="I280" s="19"/>
      <c r="J280" s="23" t="str">
        <f>IF(AND(ISNUMBER(E280),ISNUMBER(F280)),IF(F280&gt;0,E280/F280,""),"")</f>
        <v/>
      </c>
      <c r="K280" s="23" t="str">
        <f>IF(AND(ISNUMBER(G280),ISNUMBER(H280)),IF(H280&gt;0,G280/H280,""),"")</f>
        <v/>
      </c>
      <c r="L280" s="24" t="str">
        <f>IF(AND(ISNUMBER(J280),ISNUMBER(K280)),IF(J280&gt;0,K280/J280,""),"")</f>
        <v/>
      </c>
    </row>
    <row r="281" spans="1:12" x14ac:dyDescent="0.25">
      <c r="A281" s="18"/>
      <c r="B281" s="21"/>
      <c r="C281" s="19"/>
      <c r="D281" s="23" t="str">
        <f>IF(B281="","",IFERROR(VLOOKUP(B281,Frentes!$A$5:$B$64,2,0),""))</f>
        <v/>
      </c>
      <c r="E281" s="17"/>
      <c r="F281" s="17"/>
      <c r="G281" s="17"/>
      <c r="H281" s="17"/>
      <c r="I281" s="19"/>
      <c r="J281" s="23" t="str">
        <f>IF(AND(ISNUMBER(E281),ISNUMBER(F281)),IF(F281&gt;0,E281/F281,""),"")</f>
        <v/>
      </c>
      <c r="K281" s="23" t="str">
        <f>IF(AND(ISNUMBER(G281),ISNUMBER(H281)),IF(H281&gt;0,G281/H281,""),"")</f>
        <v/>
      </c>
      <c r="L281" s="24" t="str">
        <f>IF(AND(ISNUMBER(J281),ISNUMBER(K281)),IF(J281&gt;0,K281/J281,""),"")</f>
        <v/>
      </c>
    </row>
    <row r="282" spans="1:12" x14ac:dyDescent="0.25">
      <c r="A282" s="18"/>
      <c r="B282" s="21"/>
      <c r="C282" s="19"/>
      <c r="D282" s="23" t="str">
        <f>IF(B282="","",IFERROR(VLOOKUP(B282,Frentes!$A$5:$B$64,2,0),""))</f>
        <v/>
      </c>
      <c r="E282" s="17"/>
      <c r="F282" s="17"/>
      <c r="G282" s="17"/>
      <c r="H282" s="17"/>
      <c r="I282" s="19"/>
      <c r="J282" s="23" t="str">
        <f>IF(AND(ISNUMBER(E282),ISNUMBER(F282)),IF(F282&gt;0,E282/F282,""),"")</f>
        <v/>
      </c>
      <c r="K282" s="23" t="str">
        <f>IF(AND(ISNUMBER(G282),ISNUMBER(H282)),IF(H282&gt;0,G282/H282,""),"")</f>
        <v/>
      </c>
      <c r="L282" s="24" t="str">
        <f>IF(AND(ISNUMBER(J282),ISNUMBER(K282)),IF(J282&gt;0,K282/J282,""),"")</f>
        <v/>
      </c>
    </row>
    <row r="283" spans="1:12" x14ac:dyDescent="0.25">
      <c r="A283" s="18"/>
      <c r="B283" s="21"/>
      <c r="C283" s="19"/>
      <c r="D283" s="23" t="str">
        <f>IF(B283="","",IFERROR(VLOOKUP(B283,Frentes!$A$5:$B$64,2,0),""))</f>
        <v/>
      </c>
      <c r="E283" s="17"/>
      <c r="F283" s="17"/>
      <c r="G283" s="17"/>
      <c r="H283" s="17"/>
      <c r="I283" s="19"/>
      <c r="J283" s="23" t="str">
        <f>IF(AND(ISNUMBER(E283),ISNUMBER(F283)),IF(F283&gt;0,E283/F283,""),"")</f>
        <v/>
      </c>
      <c r="K283" s="23" t="str">
        <f>IF(AND(ISNUMBER(G283),ISNUMBER(H283)),IF(H283&gt;0,G283/H283,""),"")</f>
        <v/>
      </c>
      <c r="L283" s="24" t="str">
        <f>IF(AND(ISNUMBER(J283),ISNUMBER(K283)),IF(J283&gt;0,K283/J283,""),"")</f>
        <v/>
      </c>
    </row>
    <row r="284" spans="1:12" x14ac:dyDescent="0.25">
      <c r="A284" s="18"/>
      <c r="B284" s="21"/>
      <c r="C284" s="19"/>
      <c r="D284" s="23" t="str">
        <f>IF(B284="","",IFERROR(VLOOKUP(B284,Frentes!$A$5:$B$64,2,0),""))</f>
        <v/>
      </c>
      <c r="E284" s="17"/>
      <c r="F284" s="17"/>
      <c r="G284" s="17"/>
      <c r="H284" s="17"/>
      <c r="I284" s="19"/>
      <c r="J284" s="23" t="str">
        <f>IF(AND(ISNUMBER(E284),ISNUMBER(F284)),IF(F284&gt;0,E284/F284,""),"")</f>
        <v/>
      </c>
      <c r="K284" s="23" t="str">
        <f>IF(AND(ISNUMBER(G284),ISNUMBER(H284)),IF(H284&gt;0,G284/H284,""),"")</f>
        <v/>
      </c>
      <c r="L284" s="24" t="str">
        <f>IF(AND(ISNUMBER(J284),ISNUMBER(K284)),IF(J284&gt;0,K284/J284,""),"")</f>
        <v/>
      </c>
    </row>
    <row r="285" spans="1:12" x14ac:dyDescent="0.25">
      <c r="A285" s="18"/>
      <c r="B285" s="21"/>
      <c r="C285" s="19"/>
      <c r="D285" s="23" t="str">
        <f>IF(B285="","",IFERROR(VLOOKUP(B285,Frentes!$A$5:$B$64,2,0),""))</f>
        <v/>
      </c>
      <c r="E285" s="17"/>
      <c r="F285" s="17"/>
      <c r="G285" s="17"/>
      <c r="H285" s="17"/>
      <c r="I285" s="19"/>
      <c r="J285" s="23" t="str">
        <f>IF(AND(ISNUMBER(E285),ISNUMBER(F285)),IF(F285&gt;0,E285/F285,""),"")</f>
        <v/>
      </c>
      <c r="K285" s="23" t="str">
        <f>IF(AND(ISNUMBER(G285),ISNUMBER(H285)),IF(H285&gt;0,G285/H285,""),"")</f>
        <v/>
      </c>
      <c r="L285" s="24" t="str">
        <f>IF(AND(ISNUMBER(J285),ISNUMBER(K285)),IF(J285&gt;0,K285/J285,""),"")</f>
        <v/>
      </c>
    </row>
    <row r="286" spans="1:12" x14ac:dyDescent="0.25">
      <c r="A286" s="18"/>
      <c r="B286" s="21"/>
      <c r="C286" s="19"/>
      <c r="D286" s="23" t="str">
        <f>IF(B286="","",IFERROR(VLOOKUP(B286,Frentes!$A$5:$B$64,2,0),""))</f>
        <v/>
      </c>
      <c r="E286" s="17"/>
      <c r="F286" s="17"/>
      <c r="G286" s="17"/>
      <c r="H286" s="17"/>
      <c r="I286" s="19"/>
      <c r="J286" s="23" t="str">
        <f>IF(AND(ISNUMBER(E286),ISNUMBER(F286)),IF(F286&gt;0,E286/F286,""),"")</f>
        <v/>
      </c>
      <c r="K286" s="23" t="str">
        <f>IF(AND(ISNUMBER(G286),ISNUMBER(H286)),IF(H286&gt;0,G286/H286,""),"")</f>
        <v/>
      </c>
      <c r="L286" s="24" t="str">
        <f>IF(AND(ISNUMBER(J286),ISNUMBER(K286)),IF(J286&gt;0,K286/J286,""),"")</f>
        <v/>
      </c>
    </row>
    <row r="287" spans="1:12" x14ac:dyDescent="0.25">
      <c r="A287" s="18"/>
      <c r="B287" s="21"/>
      <c r="C287" s="19"/>
      <c r="D287" s="23" t="str">
        <f>IF(B287="","",IFERROR(VLOOKUP(B287,Frentes!$A$5:$B$64,2,0),""))</f>
        <v/>
      </c>
      <c r="E287" s="17"/>
      <c r="F287" s="17"/>
      <c r="G287" s="17"/>
      <c r="H287" s="17"/>
      <c r="I287" s="19"/>
      <c r="J287" s="23" t="str">
        <f>IF(AND(ISNUMBER(E287),ISNUMBER(F287)),IF(F287&gt;0,E287/F287,""),"")</f>
        <v/>
      </c>
      <c r="K287" s="23" t="str">
        <f>IF(AND(ISNUMBER(G287),ISNUMBER(H287)),IF(H287&gt;0,G287/H287,""),"")</f>
        <v/>
      </c>
      <c r="L287" s="24" t="str">
        <f>IF(AND(ISNUMBER(J287),ISNUMBER(K287)),IF(J287&gt;0,K287/J287,""),"")</f>
        <v/>
      </c>
    </row>
    <row r="288" spans="1:12" x14ac:dyDescent="0.25">
      <c r="A288" s="18"/>
      <c r="B288" s="21"/>
      <c r="C288" s="19"/>
      <c r="D288" s="23" t="str">
        <f>IF(B288="","",IFERROR(VLOOKUP(B288,Frentes!$A$5:$B$64,2,0),""))</f>
        <v/>
      </c>
      <c r="E288" s="17"/>
      <c r="F288" s="17"/>
      <c r="G288" s="17"/>
      <c r="H288" s="17"/>
      <c r="I288" s="19"/>
      <c r="J288" s="23" t="str">
        <f>IF(AND(ISNUMBER(E288),ISNUMBER(F288)),IF(F288&gt;0,E288/F288,""),"")</f>
        <v/>
      </c>
      <c r="K288" s="23" t="str">
        <f>IF(AND(ISNUMBER(G288),ISNUMBER(H288)),IF(H288&gt;0,G288/H288,""),"")</f>
        <v/>
      </c>
      <c r="L288" s="24" t="str">
        <f>IF(AND(ISNUMBER(J288),ISNUMBER(K288)),IF(J288&gt;0,K288/J288,""),"")</f>
        <v/>
      </c>
    </row>
    <row r="289" spans="1:12" x14ac:dyDescent="0.25">
      <c r="A289" s="18"/>
      <c r="B289" s="21"/>
      <c r="C289" s="19"/>
      <c r="D289" s="23" t="str">
        <f>IF(B289="","",IFERROR(VLOOKUP(B289,Frentes!$A$5:$B$64,2,0),""))</f>
        <v/>
      </c>
      <c r="E289" s="17"/>
      <c r="F289" s="17"/>
      <c r="G289" s="17"/>
      <c r="H289" s="17"/>
      <c r="I289" s="19"/>
      <c r="J289" s="23" t="str">
        <f>IF(AND(ISNUMBER(E289),ISNUMBER(F289)),IF(F289&gt;0,E289/F289,""),"")</f>
        <v/>
      </c>
      <c r="K289" s="23" t="str">
        <f>IF(AND(ISNUMBER(G289),ISNUMBER(H289)),IF(H289&gt;0,G289/H289,""),"")</f>
        <v/>
      </c>
      <c r="L289" s="24" t="str">
        <f>IF(AND(ISNUMBER(J289),ISNUMBER(K289)),IF(J289&gt;0,K289/J289,""),"")</f>
        <v/>
      </c>
    </row>
    <row r="290" spans="1:12" x14ac:dyDescent="0.25">
      <c r="A290" s="18"/>
      <c r="B290" s="21"/>
      <c r="C290" s="19"/>
      <c r="D290" s="23" t="str">
        <f>IF(B290="","",IFERROR(VLOOKUP(B290,Frentes!$A$5:$B$64,2,0),""))</f>
        <v/>
      </c>
      <c r="E290" s="17"/>
      <c r="F290" s="17"/>
      <c r="G290" s="17"/>
      <c r="H290" s="17"/>
      <c r="I290" s="19"/>
      <c r="J290" s="23" t="str">
        <f>IF(AND(ISNUMBER(E290),ISNUMBER(F290)),IF(F290&gt;0,E290/F290,""),"")</f>
        <v/>
      </c>
      <c r="K290" s="23" t="str">
        <f>IF(AND(ISNUMBER(G290),ISNUMBER(H290)),IF(H290&gt;0,G290/H290,""),"")</f>
        <v/>
      </c>
      <c r="L290" s="24" t="str">
        <f>IF(AND(ISNUMBER(J290),ISNUMBER(K290)),IF(J290&gt;0,K290/J290,""),"")</f>
        <v/>
      </c>
    </row>
    <row r="291" spans="1:12" x14ac:dyDescent="0.25">
      <c r="A291" s="18"/>
      <c r="B291" s="21"/>
      <c r="C291" s="19"/>
      <c r="D291" s="23" t="str">
        <f>IF(B291="","",IFERROR(VLOOKUP(B291,Frentes!$A$5:$B$64,2,0),""))</f>
        <v/>
      </c>
      <c r="E291" s="17"/>
      <c r="F291" s="17"/>
      <c r="G291" s="17"/>
      <c r="H291" s="17"/>
      <c r="I291" s="19"/>
      <c r="J291" s="23" t="str">
        <f>IF(AND(ISNUMBER(E291),ISNUMBER(F291)),IF(F291&gt;0,E291/F291,""),"")</f>
        <v/>
      </c>
      <c r="K291" s="23" t="str">
        <f>IF(AND(ISNUMBER(G291),ISNUMBER(H291)),IF(H291&gt;0,G291/H291,""),"")</f>
        <v/>
      </c>
      <c r="L291" s="24" t="str">
        <f>IF(AND(ISNUMBER(J291),ISNUMBER(K291)),IF(J291&gt;0,K291/J291,""),"")</f>
        <v/>
      </c>
    </row>
    <row r="292" spans="1:12" x14ac:dyDescent="0.25">
      <c r="A292" s="18"/>
      <c r="B292" s="21"/>
      <c r="C292" s="19"/>
      <c r="D292" s="23" t="str">
        <f>IF(B292="","",IFERROR(VLOOKUP(B292,Frentes!$A$5:$B$64,2,0),""))</f>
        <v/>
      </c>
      <c r="E292" s="17"/>
      <c r="F292" s="17"/>
      <c r="G292" s="17"/>
      <c r="H292" s="17"/>
      <c r="I292" s="19"/>
      <c r="J292" s="23" t="str">
        <f>IF(AND(ISNUMBER(E292),ISNUMBER(F292)),IF(F292&gt;0,E292/F292,""),"")</f>
        <v/>
      </c>
      <c r="K292" s="23" t="str">
        <f>IF(AND(ISNUMBER(G292),ISNUMBER(H292)),IF(H292&gt;0,G292/H292,""),"")</f>
        <v/>
      </c>
      <c r="L292" s="24" t="str">
        <f>IF(AND(ISNUMBER(J292),ISNUMBER(K292)),IF(J292&gt;0,K292/J292,""),"")</f>
        <v/>
      </c>
    </row>
    <row r="293" spans="1:12" x14ac:dyDescent="0.25">
      <c r="A293" s="18"/>
      <c r="B293" s="21"/>
      <c r="C293" s="19"/>
      <c r="D293" s="23" t="str">
        <f>IF(B293="","",IFERROR(VLOOKUP(B293,Frentes!$A$5:$B$64,2,0),""))</f>
        <v/>
      </c>
      <c r="E293" s="17"/>
      <c r="F293" s="17"/>
      <c r="G293" s="17"/>
      <c r="H293" s="17"/>
      <c r="I293" s="19"/>
      <c r="J293" s="23" t="str">
        <f>IF(AND(ISNUMBER(E293),ISNUMBER(F293)),IF(F293&gt;0,E293/F293,""),"")</f>
        <v/>
      </c>
      <c r="K293" s="23" t="str">
        <f>IF(AND(ISNUMBER(G293),ISNUMBER(H293)),IF(H293&gt;0,G293/H293,""),"")</f>
        <v/>
      </c>
      <c r="L293" s="24" t="str">
        <f>IF(AND(ISNUMBER(J293),ISNUMBER(K293)),IF(J293&gt;0,K293/J293,""),"")</f>
        <v/>
      </c>
    </row>
    <row r="294" spans="1:12" x14ac:dyDescent="0.25">
      <c r="A294" s="18"/>
      <c r="B294" s="21"/>
      <c r="C294" s="19"/>
      <c r="D294" s="23" t="str">
        <f>IF(B294="","",IFERROR(VLOOKUP(B294,Frentes!$A$5:$B$64,2,0),""))</f>
        <v/>
      </c>
      <c r="E294" s="17"/>
      <c r="F294" s="17"/>
      <c r="G294" s="17"/>
      <c r="H294" s="17"/>
      <c r="I294" s="19"/>
      <c r="J294" s="23" t="str">
        <f>IF(AND(ISNUMBER(E294),ISNUMBER(F294)),IF(F294&gt;0,E294/F294,""),"")</f>
        <v/>
      </c>
      <c r="K294" s="23" t="str">
        <f>IF(AND(ISNUMBER(G294),ISNUMBER(H294)),IF(H294&gt;0,G294/H294,""),"")</f>
        <v/>
      </c>
      <c r="L294" s="24" t="str">
        <f>IF(AND(ISNUMBER(J294),ISNUMBER(K294)),IF(J294&gt;0,K294/J294,""),"")</f>
        <v/>
      </c>
    </row>
    <row r="295" spans="1:12" x14ac:dyDescent="0.25">
      <c r="A295" s="18"/>
      <c r="B295" s="21"/>
      <c r="C295" s="19"/>
      <c r="D295" s="23" t="str">
        <f>IF(B295="","",IFERROR(VLOOKUP(B295,Frentes!$A$5:$B$64,2,0),""))</f>
        <v/>
      </c>
      <c r="E295" s="17"/>
      <c r="F295" s="17"/>
      <c r="G295" s="17"/>
      <c r="H295" s="17"/>
      <c r="I295" s="19"/>
      <c r="J295" s="23" t="str">
        <f>IF(AND(ISNUMBER(E295),ISNUMBER(F295)),IF(F295&gt;0,E295/F295,""),"")</f>
        <v/>
      </c>
      <c r="K295" s="23" t="str">
        <f>IF(AND(ISNUMBER(G295),ISNUMBER(H295)),IF(H295&gt;0,G295/H295,""),"")</f>
        <v/>
      </c>
      <c r="L295" s="24" t="str">
        <f>IF(AND(ISNUMBER(J295),ISNUMBER(K295)),IF(J295&gt;0,K295/J295,""),"")</f>
        <v/>
      </c>
    </row>
    <row r="296" spans="1:12" x14ac:dyDescent="0.25">
      <c r="A296" s="18"/>
      <c r="B296" s="21"/>
      <c r="C296" s="19"/>
      <c r="D296" s="23" t="str">
        <f>IF(B296="","",IFERROR(VLOOKUP(B296,Frentes!$A$5:$B$64,2,0),""))</f>
        <v/>
      </c>
      <c r="E296" s="17"/>
      <c r="F296" s="17"/>
      <c r="G296" s="17"/>
      <c r="H296" s="17"/>
      <c r="I296" s="19"/>
      <c r="J296" s="23" t="str">
        <f>IF(AND(ISNUMBER(E296),ISNUMBER(F296)),IF(F296&gt;0,E296/F296,""),"")</f>
        <v/>
      </c>
      <c r="K296" s="23" t="str">
        <f>IF(AND(ISNUMBER(G296),ISNUMBER(H296)),IF(H296&gt;0,G296/H296,""),"")</f>
        <v/>
      </c>
      <c r="L296" s="24" t="str">
        <f>IF(AND(ISNUMBER(J296),ISNUMBER(K296)),IF(J296&gt;0,K296/J296,""),"")</f>
        <v/>
      </c>
    </row>
    <row r="297" spans="1:12" x14ac:dyDescent="0.25">
      <c r="A297" s="18"/>
      <c r="B297" s="21"/>
      <c r="C297" s="19"/>
      <c r="D297" s="23" t="str">
        <f>IF(B297="","",IFERROR(VLOOKUP(B297,Frentes!$A$5:$B$64,2,0),""))</f>
        <v/>
      </c>
      <c r="E297" s="17"/>
      <c r="F297" s="17"/>
      <c r="G297" s="17"/>
      <c r="H297" s="17"/>
      <c r="I297" s="19"/>
      <c r="J297" s="23" t="str">
        <f>IF(AND(ISNUMBER(E297),ISNUMBER(F297)),IF(F297&gt;0,E297/F297,""),"")</f>
        <v/>
      </c>
      <c r="K297" s="23" t="str">
        <f>IF(AND(ISNUMBER(G297),ISNUMBER(H297)),IF(H297&gt;0,G297/H297,""),"")</f>
        <v/>
      </c>
      <c r="L297" s="24" t="str">
        <f>IF(AND(ISNUMBER(J297),ISNUMBER(K297)),IF(J297&gt;0,K297/J297,""),"")</f>
        <v/>
      </c>
    </row>
    <row r="298" spans="1:12" x14ac:dyDescent="0.25">
      <c r="A298" s="18"/>
      <c r="B298" s="21"/>
      <c r="C298" s="19"/>
      <c r="D298" s="23" t="str">
        <f>IF(B298="","",IFERROR(VLOOKUP(B298,Frentes!$A$5:$B$64,2,0),""))</f>
        <v/>
      </c>
      <c r="E298" s="17"/>
      <c r="F298" s="17"/>
      <c r="G298" s="17"/>
      <c r="H298" s="17"/>
      <c r="I298" s="19"/>
      <c r="J298" s="23" t="str">
        <f>IF(AND(ISNUMBER(E298),ISNUMBER(F298)),IF(F298&gt;0,E298/F298,""),"")</f>
        <v/>
      </c>
      <c r="K298" s="23" t="str">
        <f>IF(AND(ISNUMBER(G298),ISNUMBER(H298)),IF(H298&gt;0,G298/H298,""),"")</f>
        <v/>
      </c>
      <c r="L298" s="24" t="str">
        <f>IF(AND(ISNUMBER(J298),ISNUMBER(K298)),IF(J298&gt;0,K298/J298,""),"")</f>
        <v/>
      </c>
    </row>
    <row r="299" spans="1:12" x14ac:dyDescent="0.25">
      <c r="A299" s="18"/>
      <c r="B299" s="21"/>
      <c r="C299" s="19"/>
      <c r="D299" s="23" t="str">
        <f>IF(B299="","",IFERROR(VLOOKUP(B299,Frentes!$A$5:$B$64,2,0),""))</f>
        <v/>
      </c>
      <c r="E299" s="17"/>
      <c r="F299" s="17"/>
      <c r="G299" s="17"/>
      <c r="H299" s="17"/>
      <c r="I299" s="19"/>
      <c r="J299" s="23" t="str">
        <f>IF(AND(ISNUMBER(E299),ISNUMBER(F299)),IF(F299&gt;0,E299/F299,""),"")</f>
        <v/>
      </c>
      <c r="K299" s="23" t="str">
        <f>IF(AND(ISNUMBER(G299),ISNUMBER(H299)),IF(H299&gt;0,G299/H299,""),"")</f>
        <v/>
      </c>
      <c r="L299" s="24" t="str">
        <f>IF(AND(ISNUMBER(J299),ISNUMBER(K299)),IF(J299&gt;0,K299/J299,""),"")</f>
        <v/>
      </c>
    </row>
    <row r="300" spans="1:12" x14ac:dyDescent="0.25">
      <c r="A300" s="18"/>
      <c r="B300" s="21"/>
      <c r="C300" s="19"/>
      <c r="D300" s="23" t="str">
        <f>IF(B300="","",IFERROR(VLOOKUP(B300,Frentes!$A$5:$B$64,2,0),""))</f>
        <v/>
      </c>
      <c r="E300" s="17"/>
      <c r="F300" s="17"/>
      <c r="G300" s="17"/>
      <c r="H300" s="17"/>
      <c r="I300" s="19"/>
      <c r="J300" s="23" t="str">
        <f>IF(AND(ISNUMBER(E300),ISNUMBER(F300)),IF(F300&gt;0,E300/F300,""),"")</f>
        <v/>
      </c>
      <c r="K300" s="23" t="str">
        <f>IF(AND(ISNUMBER(G300),ISNUMBER(H300)),IF(H300&gt;0,G300/H300,""),"")</f>
        <v/>
      </c>
      <c r="L300" s="24" t="str">
        <f>IF(AND(ISNUMBER(J300),ISNUMBER(K300)),IF(J300&gt;0,K300/J300,""),"")</f>
        <v/>
      </c>
    </row>
    <row r="301" spans="1:12" x14ac:dyDescent="0.25">
      <c r="A301" s="18"/>
      <c r="B301" s="21"/>
      <c r="C301" s="19"/>
      <c r="D301" s="23" t="str">
        <f>IF(B301="","",IFERROR(VLOOKUP(B301,Frentes!$A$5:$B$64,2,0),""))</f>
        <v/>
      </c>
      <c r="E301" s="17"/>
      <c r="F301" s="17"/>
      <c r="G301" s="17"/>
      <c r="H301" s="17"/>
      <c r="I301" s="19"/>
      <c r="J301" s="23" t="str">
        <f>IF(AND(ISNUMBER(E301),ISNUMBER(F301)),IF(F301&gt;0,E301/F301,""),"")</f>
        <v/>
      </c>
      <c r="K301" s="23" t="str">
        <f>IF(AND(ISNUMBER(G301),ISNUMBER(H301)),IF(H301&gt;0,G301/H301,""),"")</f>
        <v/>
      </c>
      <c r="L301" s="24" t="str">
        <f>IF(AND(ISNUMBER(J301),ISNUMBER(K301)),IF(J301&gt;0,K301/J301,""),"")</f>
        <v/>
      </c>
    </row>
    <row r="302" spans="1:12" x14ac:dyDescent="0.25">
      <c r="A302" s="18"/>
      <c r="B302" s="21"/>
      <c r="C302" s="19"/>
      <c r="D302" s="23" t="str">
        <f>IF(B302="","",IFERROR(VLOOKUP(B302,Frentes!$A$5:$B$64,2,0),""))</f>
        <v/>
      </c>
      <c r="E302" s="17"/>
      <c r="F302" s="17"/>
      <c r="G302" s="17"/>
      <c r="H302" s="17"/>
      <c r="I302" s="19"/>
      <c r="J302" s="23" t="str">
        <f>IF(AND(ISNUMBER(E302),ISNUMBER(F302)),IF(F302&gt;0,E302/F302,""),"")</f>
        <v/>
      </c>
      <c r="K302" s="23" t="str">
        <f>IF(AND(ISNUMBER(G302),ISNUMBER(H302)),IF(H302&gt;0,G302/H302,""),"")</f>
        <v/>
      </c>
      <c r="L302" s="24" t="str">
        <f>IF(AND(ISNUMBER(J302),ISNUMBER(K302)),IF(J302&gt;0,K302/J302,""),"")</f>
        <v/>
      </c>
    </row>
    <row r="303" spans="1:12" x14ac:dyDescent="0.25">
      <c r="A303" s="18"/>
      <c r="B303" s="21"/>
      <c r="C303" s="19"/>
      <c r="D303" s="23" t="str">
        <f>IF(B303="","",IFERROR(VLOOKUP(B303,Frentes!$A$5:$B$64,2,0),""))</f>
        <v/>
      </c>
      <c r="E303" s="17"/>
      <c r="F303" s="17"/>
      <c r="G303" s="17"/>
      <c r="H303" s="17"/>
      <c r="I303" s="19"/>
      <c r="J303" s="23" t="str">
        <f>IF(AND(ISNUMBER(E303),ISNUMBER(F303)),IF(F303&gt;0,E303/F303,""),"")</f>
        <v/>
      </c>
      <c r="K303" s="23" t="str">
        <f>IF(AND(ISNUMBER(G303),ISNUMBER(H303)),IF(H303&gt;0,G303/H303,""),"")</f>
        <v/>
      </c>
      <c r="L303" s="24" t="str">
        <f>IF(AND(ISNUMBER(J303),ISNUMBER(K303)),IF(J303&gt;0,K303/J303,""),"")</f>
        <v/>
      </c>
    </row>
    <row r="304" spans="1:12" x14ac:dyDescent="0.25">
      <c r="A304" s="18"/>
      <c r="B304" s="21"/>
      <c r="C304" s="19"/>
      <c r="D304" s="23" t="str">
        <f>IF(B304="","",IFERROR(VLOOKUP(B304,Frentes!$A$5:$B$64,2,0),""))</f>
        <v/>
      </c>
      <c r="E304" s="17"/>
      <c r="F304" s="17"/>
      <c r="G304" s="17"/>
      <c r="H304" s="17"/>
      <c r="I304" s="19"/>
      <c r="J304" s="23" t="str">
        <f>IF(AND(ISNUMBER(E304),ISNUMBER(F304)),IF(F304&gt;0,E304/F304,""),"")</f>
        <v/>
      </c>
      <c r="K304" s="23" t="str">
        <f>IF(AND(ISNUMBER(G304),ISNUMBER(H304)),IF(H304&gt;0,G304/H304,""),"")</f>
        <v/>
      </c>
      <c r="L304" s="24" t="str">
        <f>IF(AND(ISNUMBER(J304),ISNUMBER(K304)),IF(J304&gt;0,K304/J304,""),"")</f>
        <v/>
      </c>
    </row>
    <row r="305" spans="1:12" x14ac:dyDescent="0.25">
      <c r="A305" s="18"/>
      <c r="B305" s="21"/>
      <c r="C305" s="19"/>
      <c r="D305" s="23" t="str">
        <f>IF(B305="","",IFERROR(VLOOKUP(B305,Frentes!$A$5:$B$64,2,0),""))</f>
        <v/>
      </c>
      <c r="E305" s="17"/>
      <c r="F305" s="17"/>
      <c r="G305" s="17"/>
      <c r="H305" s="17"/>
      <c r="I305" s="19"/>
      <c r="J305" s="23" t="str">
        <f>IF(AND(ISNUMBER(E305),ISNUMBER(F305)),IF(F305&gt;0,E305/F305,""),"")</f>
        <v/>
      </c>
      <c r="K305" s="23" t="str">
        <f>IF(AND(ISNUMBER(G305),ISNUMBER(H305)),IF(H305&gt;0,G305/H305,""),"")</f>
        <v/>
      </c>
      <c r="L305" s="24" t="str">
        <f>IF(AND(ISNUMBER(J305),ISNUMBER(K305)),IF(J305&gt;0,K305/J305,""),"")</f>
        <v/>
      </c>
    </row>
    <row r="306" spans="1:12" x14ac:dyDescent="0.25">
      <c r="A306" s="18"/>
      <c r="B306" s="21"/>
      <c r="C306" s="19"/>
      <c r="D306" s="23" t="str">
        <f>IF(B306="","",IFERROR(VLOOKUP(B306,Frentes!$A$5:$B$64,2,0),""))</f>
        <v/>
      </c>
      <c r="E306" s="17"/>
      <c r="F306" s="17"/>
      <c r="G306" s="17"/>
      <c r="H306" s="17"/>
      <c r="I306" s="19"/>
      <c r="J306" s="23" t="str">
        <f>IF(AND(ISNUMBER(E306),ISNUMBER(F306)),IF(F306&gt;0,E306/F306,""),"")</f>
        <v/>
      </c>
      <c r="K306" s="23" t="str">
        <f>IF(AND(ISNUMBER(G306),ISNUMBER(H306)),IF(H306&gt;0,G306/H306,""),"")</f>
        <v/>
      </c>
      <c r="L306" s="24" t="str">
        <f>IF(AND(ISNUMBER(J306),ISNUMBER(K306)),IF(J306&gt;0,K306/J306,""),"")</f>
        <v/>
      </c>
    </row>
    <row r="307" spans="1:12" x14ac:dyDescent="0.25">
      <c r="A307" s="18"/>
      <c r="B307" s="21"/>
      <c r="C307" s="19"/>
      <c r="D307" s="23" t="str">
        <f>IF(B307="","",IFERROR(VLOOKUP(B307,Frentes!$A$5:$B$64,2,0),""))</f>
        <v/>
      </c>
      <c r="E307" s="17"/>
      <c r="F307" s="17"/>
      <c r="G307" s="17"/>
      <c r="H307" s="17"/>
      <c r="I307" s="19"/>
      <c r="J307" s="23" t="str">
        <f>IF(AND(ISNUMBER(E307),ISNUMBER(F307)),IF(F307&gt;0,E307/F307,""),"")</f>
        <v/>
      </c>
      <c r="K307" s="23" t="str">
        <f>IF(AND(ISNUMBER(G307),ISNUMBER(H307)),IF(H307&gt;0,G307/H307,""),"")</f>
        <v/>
      </c>
      <c r="L307" s="24" t="str">
        <f>IF(AND(ISNUMBER(J307),ISNUMBER(K307)),IF(J307&gt;0,K307/J307,""),"")</f>
        <v/>
      </c>
    </row>
    <row r="308" spans="1:12" x14ac:dyDescent="0.25">
      <c r="A308" s="18"/>
      <c r="B308" s="21"/>
      <c r="C308" s="19"/>
      <c r="D308" s="23" t="str">
        <f>IF(B308="","",IFERROR(VLOOKUP(B308,Frentes!$A$5:$B$64,2,0),""))</f>
        <v/>
      </c>
      <c r="E308" s="17"/>
      <c r="F308" s="17"/>
      <c r="G308" s="17"/>
      <c r="H308" s="17"/>
      <c r="I308" s="19"/>
      <c r="J308" s="23" t="str">
        <f>IF(AND(ISNUMBER(E308),ISNUMBER(F308)),IF(F308&gt;0,E308/F308,""),"")</f>
        <v/>
      </c>
      <c r="K308" s="23" t="str">
        <f>IF(AND(ISNUMBER(G308),ISNUMBER(H308)),IF(H308&gt;0,G308/H308,""),"")</f>
        <v/>
      </c>
      <c r="L308" s="24" t="str">
        <f>IF(AND(ISNUMBER(J308),ISNUMBER(K308)),IF(J308&gt;0,K308/J308,""),"")</f>
        <v/>
      </c>
    </row>
    <row r="309" spans="1:12" x14ac:dyDescent="0.25">
      <c r="A309" s="18"/>
      <c r="B309" s="21"/>
      <c r="C309" s="19"/>
      <c r="D309" s="23" t="str">
        <f>IF(B309="","",IFERROR(VLOOKUP(B309,Frentes!$A$5:$B$64,2,0),""))</f>
        <v/>
      </c>
      <c r="E309" s="17"/>
      <c r="F309" s="17"/>
      <c r="G309" s="17"/>
      <c r="H309" s="17"/>
      <c r="I309" s="19"/>
      <c r="J309" s="23" t="str">
        <f>IF(AND(ISNUMBER(E309),ISNUMBER(F309)),IF(F309&gt;0,E309/F309,""),"")</f>
        <v/>
      </c>
      <c r="K309" s="23" t="str">
        <f>IF(AND(ISNUMBER(G309),ISNUMBER(H309)),IF(H309&gt;0,G309/H309,""),"")</f>
        <v/>
      </c>
      <c r="L309" s="24" t="str">
        <f>IF(AND(ISNUMBER(J309),ISNUMBER(K309)),IF(J309&gt;0,K309/J309,""),"")</f>
        <v/>
      </c>
    </row>
    <row r="310" spans="1:12" x14ac:dyDescent="0.25">
      <c r="A310" s="18"/>
      <c r="B310" s="21"/>
      <c r="C310" s="19"/>
      <c r="D310" s="23" t="str">
        <f>IF(B310="","",IFERROR(VLOOKUP(B310,Frentes!$A$5:$B$64,2,0),""))</f>
        <v/>
      </c>
      <c r="E310" s="17"/>
      <c r="F310" s="17"/>
      <c r="G310" s="17"/>
      <c r="H310" s="17"/>
      <c r="I310" s="19"/>
      <c r="J310" s="23" t="str">
        <f>IF(AND(ISNUMBER(E310),ISNUMBER(F310)),IF(F310&gt;0,E310/F310,""),"")</f>
        <v/>
      </c>
      <c r="K310" s="23" t="str">
        <f>IF(AND(ISNUMBER(G310),ISNUMBER(H310)),IF(H310&gt;0,G310/H310,""),"")</f>
        <v/>
      </c>
      <c r="L310" s="24" t="str">
        <f>IF(AND(ISNUMBER(J310),ISNUMBER(K310)),IF(J310&gt;0,K310/J310,""),"")</f>
        <v/>
      </c>
    </row>
    <row r="311" spans="1:12" x14ac:dyDescent="0.25">
      <c r="A311" s="18"/>
      <c r="B311" s="21"/>
      <c r="C311" s="19"/>
      <c r="D311" s="23" t="str">
        <f>IF(B311="","",IFERROR(VLOOKUP(B311,Frentes!$A$5:$B$64,2,0),""))</f>
        <v/>
      </c>
      <c r="E311" s="17"/>
      <c r="F311" s="17"/>
      <c r="G311" s="17"/>
      <c r="H311" s="17"/>
      <c r="I311" s="19"/>
      <c r="J311" s="23" t="str">
        <f>IF(AND(ISNUMBER(E311),ISNUMBER(F311)),IF(F311&gt;0,E311/F311,""),"")</f>
        <v/>
      </c>
      <c r="K311" s="23" t="str">
        <f>IF(AND(ISNUMBER(G311),ISNUMBER(H311)),IF(H311&gt;0,G311/H311,""),"")</f>
        <v/>
      </c>
      <c r="L311" s="24" t="str">
        <f>IF(AND(ISNUMBER(J311),ISNUMBER(K311)),IF(J311&gt;0,K311/J311,""),"")</f>
        <v/>
      </c>
    </row>
    <row r="312" spans="1:12" x14ac:dyDescent="0.25">
      <c r="A312" s="18"/>
      <c r="B312" s="21"/>
      <c r="C312" s="19"/>
      <c r="D312" s="23" t="str">
        <f>IF(B312="","",IFERROR(VLOOKUP(B312,Frentes!$A$5:$B$64,2,0),""))</f>
        <v/>
      </c>
      <c r="E312" s="17"/>
      <c r="F312" s="17"/>
      <c r="G312" s="17"/>
      <c r="H312" s="17"/>
      <c r="I312" s="19"/>
      <c r="J312" s="23" t="str">
        <f>IF(AND(ISNUMBER(E312),ISNUMBER(F312)),IF(F312&gt;0,E312/F312,""),"")</f>
        <v/>
      </c>
      <c r="K312" s="23" t="str">
        <f>IF(AND(ISNUMBER(G312),ISNUMBER(H312)),IF(H312&gt;0,G312/H312,""),"")</f>
        <v/>
      </c>
      <c r="L312" s="24" t="str">
        <f>IF(AND(ISNUMBER(J312),ISNUMBER(K312)),IF(J312&gt;0,K312/J312,""),"")</f>
        <v/>
      </c>
    </row>
    <row r="313" spans="1:12" x14ac:dyDescent="0.25">
      <c r="A313" s="18"/>
      <c r="B313" s="21"/>
      <c r="C313" s="19"/>
      <c r="D313" s="23" t="str">
        <f>IF(B313="","",IFERROR(VLOOKUP(B313,Frentes!$A$5:$B$64,2,0),""))</f>
        <v/>
      </c>
      <c r="E313" s="17"/>
      <c r="F313" s="17"/>
      <c r="G313" s="17"/>
      <c r="H313" s="17"/>
      <c r="I313" s="19"/>
      <c r="J313" s="23" t="str">
        <f>IF(AND(ISNUMBER(E313),ISNUMBER(F313)),IF(F313&gt;0,E313/F313,""),"")</f>
        <v/>
      </c>
      <c r="K313" s="23" t="str">
        <f>IF(AND(ISNUMBER(G313),ISNUMBER(H313)),IF(H313&gt;0,G313/H313,""),"")</f>
        <v/>
      </c>
      <c r="L313" s="24" t="str">
        <f>IF(AND(ISNUMBER(J313),ISNUMBER(K313)),IF(J313&gt;0,K313/J313,""),"")</f>
        <v/>
      </c>
    </row>
    <row r="314" spans="1:12" x14ac:dyDescent="0.25">
      <c r="A314" s="18"/>
      <c r="B314" s="21"/>
      <c r="C314" s="19"/>
      <c r="D314" s="23" t="str">
        <f>IF(B314="","",IFERROR(VLOOKUP(B314,Frentes!$A$5:$B$64,2,0),""))</f>
        <v/>
      </c>
      <c r="E314" s="17"/>
      <c r="F314" s="17"/>
      <c r="G314" s="17"/>
      <c r="H314" s="17"/>
      <c r="I314" s="19"/>
      <c r="J314" s="23" t="str">
        <f>IF(AND(ISNUMBER(E314),ISNUMBER(F314)),IF(F314&gt;0,E314/F314,""),"")</f>
        <v/>
      </c>
      <c r="K314" s="23" t="str">
        <f>IF(AND(ISNUMBER(G314),ISNUMBER(H314)),IF(H314&gt;0,G314/H314,""),"")</f>
        <v/>
      </c>
      <c r="L314" s="24" t="str">
        <f>IF(AND(ISNUMBER(J314),ISNUMBER(K314)),IF(J314&gt;0,K314/J314,""),"")</f>
        <v/>
      </c>
    </row>
    <row r="315" spans="1:12" x14ac:dyDescent="0.25">
      <c r="A315" s="18"/>
      <c r="B315" s="21"/>
      <c r="C315" s="19"/>
      <c r="D315" s="23" t="str">
        <f>IF(B315="","",IFERROR(VLOOKUP(B315,Frentes!$A$5:$B$64,2,0),""))</f>
        <v/>
      </c>
      <c r="E315" s="17"/>
      <c r="F315" s="17"/>
      <c r="G315" s="17"/>
      <c r="H315" s="17"/>
      <c r="I315" s="19"/>
      <c r="J315" s="23" t="str">
        <f>IF(AND(ISNUMBER(E315),ISNUMBER(F315)),IF(F315&gt;0,E315/F315,""),"")</f>
        <v/>
      </c>
      <c r="K315" s="23" t="str">
        <f>IF(AND(ISNUMBER(G315),ISNUMBER(H315)),IF(H315&gt;0,G315/H315,""),"")</f>
        <v/>
      </c>
      <c r="L315" s="24" t="str">
        <f>IF(AND(ISNUMBER(J315),ISNUMBER(K315)),IF(J315&gt;0,K315/J315,""),"")</f>
        <v/>
      </c>
    </row>
    <row r="316" spans="1:12" x14ac:dyDescent="0.25">
      <c r="A316" s="18"/>
      <c r="B316" s="21"/>
      <c r="C316" s="19"/>
      <c r="D316" s="23" t="str">
        <f>IF(B316="","",IFERROR(VLOOKUP(B316,Frentes!$A$5:$B$64,2,0),""))</f>
        <v/>
      </c>
      <c r="E316" s="17"/>
      <c r="F316" s="17"/>
      <c r="G316" s="17"/>
      <c r="H316" s="17"/>
      <c r="I316" s="19"/>
      <c r="J316" s="23" t="str">
        <f>IF(AND(ISNUMBER(E316),ISNUMBER(F316)),IF(F316&gt;0,E316/F316,""),"")</f>
        <v/>
      </c>
      <c r="K316" s="23" t="str">
        <f>IF(AND(ISNUMBER(G316),ISNUMBER(H316)),IF(H316&gt;0,G316/H316,""),"")</f>
        <v/>
      </c>
      <c r="L316" s="24" t="str">
        <f>IF(AND(ISNUMBER(J316),ISNUMBER(K316)),IF(J316&gt;0,K316/J316,""),"")</f>
        <v/>
      </c>
    </row>
    <row r="317" spans="1:12" x14ac:dyDescent="0.25">
      <c r="A317" s="18"/>
      <c r="B317" s="21"/>
      <c r="C317" s="19"/>
      <c r="D317" s="23" t="str">
        <f>IF(B317="","",IFERROR(VLOOKUP(B317,Frentes!$A$5:$B$64,2,0),""))</f>
        <v/>
      </c>
      <c r="E317" s="17"/>
      <c r="F317" s="17"/>
      <c r="G317" s="17"/>
      <c r="H317" s="17"/>
      <c r="I317" s="19"/>
      <c r="J317" s="23" t="str">
        <f>IF(AND(ISNUMBER(E317),ISNUMBER(F317)),IF(F317&gt;0,E317/F317,""),"")</f>
        <v/>
      </c>
      <c r="K317" s="23" t="str">
        <f>IF(AND(ISNUMBER(G317),ISNUMBER(H317)),IF(H317&gt;0,G317/H317,""),"")</f>
        <v/>
      </c>
      <c r="L317" s="24" t="str">
        <f>IF(AND(ISNUMBER(J317),ISNUMBER(K317)),IF(J317&gt;0,K317/J317,""),"")</f>
        <v/>
      </c>
    </row>
    <row r="318" spans="1:12" x14ac:dyDescent="0.25">
      <c r="A318" s="18"/>
      <c r="B318" s="21"/>
      <c r="C318" s="19"/>
      <c r="D318" s="23" t="str">
        <f>IF(B318="","",IFERROR(VLOOKUP(B318,Frentes!$A$5:$B$64,2,0),""))</f>
        <v/>
      </c>
      <c r="E318" s="17"/>
      <c r="F318" s="17"/>
      <c r="G318" s="17"/>
      <c r="H318" s="17"/>
      <c r="I318" s="19"/>
      <c r="J318" s="23" t="str">
        <f>IF(AND(ISNUMBER(E318),ISNUMBER(F318)),IF(F318&gt;0,E318/F318,""),"")</f>
        <v/>
      </c>
      <c r="K318" s="23" t="str">
        <f>IF(AND(ISNUMBER(G318),ISNUMBER(H318)),IF(H318&gt;0,G318/H318,""),"")</f>
        <v/>
      </c>
      <c r="L318" s="24" t="str">
        <f>IF(AND(ISNUMBER(J318),ISNUMBER(K318)),IF(J318&gt;0,K318/J318,""),"")</f>
        <v/>
      </c>
    </row>
    <row r="319" spans="1:12" x14ac:dyDescent="0.25">
      <c r="A319" s="18"/>
      <c r="B319" s="21"/>
      <c r="C319" s="19"/>
      <c r="D319" s="23" t="str">
        <f>IF(B319="","",IFERROR(VLOOKUP(B319,Frentes!$A$5:$B$64,2,0),""))</f>
        <v/>
      </c>
      <c r="E319" s="17"/>
      <c r="F319" s="17"/>
      <c r="G319" s="17"/>
      <c r="H319" s="17"/>
      <c r="I319" s="19"/>
      <c r="J319" s="23" t="str">
        <f>IF(AND(ISNUMBER(E319),ISNUMBER(F319)),IF(F319&gt;0,E319/F319,""),"")</f>
        <v/>
      </c>
      <c r="K319" s="23" t="str">
        <f>IF(AND(ISNUMBER(G319),ISNUMBER(H319)),IF(H319&gt;0,G319/H319,""),"")</f>
        <v/>
      </c>
      <c r="L319" s="24" t="str">
        <f>IF(AND(ISNUMBER(J319),ISNUMBER(K319)),IF(J319&gt;0,K319/J319,""),"")</f>
        <v/>
      </c>
    </row>
    <row r="320" spans="1:12" x14ac:dyDescent="0.25">
      <c r="A320" s="18"/>
      <c r="B320" s="21"/>
      <c r="C320" s="19"/>
      <c r="D320" s="23" t="str">
        <f>IF(B320="","",IFERROR(VLOOKUP(B320,Frentes!$A$5:$B$64,2,0),""))</f>
        <v/>
      </c>
      <c r="E320" s="17"/>
      <c r="F320" s="17"/>
      <c r="G320" s="17"/>
      <c r="H320" s="17"/>
      <c r="I320" s="19"/>
      <c r="J320" s="23" t="str">
        <f>IF(AND(ISNUMBER(E320),ISNUMBER(F320)),IF(F320&gt;0,E320/F320,""),"")</f>
        <v/>
      </c>
      <c r="K320" s="23" t="str">
        <f>IF(AND(ISNUMBER(G320),ISNUMBER(H320)),IF(H320&gt;0,G320/H320,""),"")</f>
        <v/>
      </c>
      <c r="L320" s="24" t="str">
        <f>IF(AND(ISNUMBER(J320),ISNUMBER(K320)),IF(J320&gt;0,K320/J320,""),"")</f>
        <v/>
      </c>
    </row>
    <row r="321" spans="1:12" x14ac:dyDescent="0.25">
      <c r="A321" s="18"/>
      <c r="B321" s="21"/>
      <c r="C321" s="19"/>
      <c r="D321" s="23" t="str">
        <f>IF(B321="","",IFERROR(VLOOKUP(B321,Frentes!$A$5:$B$64,2,0),""))</f>
        <v/>
      </c>
      <c r="E321" s="17"/>
      <c r="F321" s="17"/>
      <c r="G321" s="17"/>
      <c r="H321" s="17"/>
      <c r="I321" s="19"/>
      <c r="J321" s="23" t="str">
        <f>IF(AND(ISNUMBER(E321),ISNUMBER(F321)),IF(F321&gt;0,E321/F321,""),"")</f>
        <v/>
      </c>
      <c r="K321" s="23" t="str">
        <f>IF(AND(ISNUMBER(G321),ISNUMBER(H321)),IF(H321&gt;0,G321/H321,""),"")</f>
        <v/>
      </c>
      <c r="L321" s="24" t="str">
        <f>IF(AND(ISNUMBER(J321),ISNUMBER(K321)),IF(J321&gt;0,K321/J321,""),"")</f>
        <v/>
      </c>
    </row>
    <row r="322" spans="1:12" x14ac:dyDescent="0.25">
      <c r="A322" s="18"/>
      <c r="B322" s="21"/>
      <c r="C322" s="19"/>
      <c r="D322" s="23" t="str">
        <f>IF(B322="","",IFERROR(VLOOKUP(B322,Frentes!$A$5:$B$64,2,0),""))</f>
        <v/>
      </c>
      <c r="E322" s="17"/>
      <c r="F322" s="17"/>
      <c r="G322" s="17"/>
      <c r="H322" s="17"/>
      <c r="I322" s="19"/>
      <c r="J322" s="23" t="str">
        <f>IF(AND(ISNUMBER(E322),ISNUMBER(F322)),IF(F322&gt;0,E322/F322,""),"")</f>
        <v/>
      </c>
      <c r="K322" s="23" t="str">
        <f>IF(AND(ISNUMBER(G322),ISNUMBER(H322)),IF(H322&gt;0,G322/H322,""),"")</f>
        <v/>
      </c>
      <c r="L322" s="24" t="str">
        <f>IF(AND(ISNUMBER(J322),ISNUMBER(K322)),IF(J322&gt;0,K322/J322,""),"")</f>
        <v/>
      </c>
    </row>
    <row r="323" spans="1:12" x14ac:dyDescent="0.25">
      <c r="A323" s="18"/>
      <c r="B323" s="21"/>
      <c r="C323" s="19"/>
      <c r="D323" s="23" t="str">
        <f>IF(B323="","",IFERROR(VLOOKUP(B323,Frentes!$A$5:$B$64,2,0),""))</f>
        <v/>
      </c>
      <c r="E323" s="17"/>
      <c r="F323" s="17"/>
      <c r="G323" s="17"/>
      <c r="H323" s="17"/>
      <c r="I323" s="19"/>
      <c r="J323" s="23" t="str">
        <f>IF(AND(ISNUMBER(E323),ISNUMBER(F323)),IF(F323&gt;0,E323/F323,""),"")</f>
        <v/>
      </c>
      <c r="K323" s="23" t="str">
        <f>IF(AND(ISNUMBER(G323),ISNUMBER(H323)),IF(H323&gt;0,G323/H323,""),"")</f>
        <v/>
      </c>
      <c r="L323" s="24" t="str">
        <f>IF(AND(ISNUMBER(J323),ISNUMBER(K323)),IF(J323&gt;0,K323/J323,""),"")</f>
        <v/>
      </c>
    </row>
    <row r="324" spans="1:12" x14ac:dyDescent="0.25">
      <c r="A324" s="18"/>
      <c r="B324" s="21"/>
      <c r="C324" s="19"/>
      <c r="D324" s="23" t="str">
        <f>IF(B324="","",IFERROR(VLOOKUP(B324,Frentes!$A$5:$B$64,2,0),""))</f>
        <v/>
      </c>
      <c r="E324" s="17"/>
      <c r="F324" s="17"/>
      <c r="G324" s="17"/>
      <c r="H324" s="17"/>
      <c r="I324" s="19"/>
      <c r="J324" s="23" t="str">
        <f>IF(AND(ISNUMBER(E324),ISNUMBER(F324)),IF(F324&gt;0,E324/F324,""),"")</f>
        <v/>
      </c>
      <c r="K324" s="23" t="str">
        <f>IF(AND(ISNUMBER(G324),ISNUMBER(H324)),IF(H324&gt;0,G324/H324,""),"")</f>
        <v/>
      </c>
      <c r="L324" s="24" t="str">
        <f>IF(AND(ISNUMBER(J324),ISNUMBER(K324)),IF(J324&gt;0,K324/J324,""),"")</f>
        <v/>
      </c>
    </row>
    <row r="325" spans="1:12" x14ac:dyDescent="0.25">
      <c r="A325" s="18"/>
      <c r="B325" s="21"/>
      <c r="C325" s="19"/>
      <c r="D325" s="23" t="str">
        <f>IF(B325="","",IFERROR(VLOOKUP(B325,Frentes!$A$5:$B$64,2,0),""))</f>
        <v/>
      </c>
      <c r="E325" s="17"/>
      <c r="F325" s="17"/>
      <c r="G325" s="17"/>
      <c r="H325" s="17"/>
      <c r="I325" s="19"/>
      <c r="J325" s="23" t="str">
        <f>IF(AND(ISNUMBER(E325),ISNUMBER(F325)),IF(F325&gt;0,E325/F325,""),"")</f>
        <v/>
      </c>
      <c r="K325" s="23" t="str">
        <f>IF(AND(ISNUMBER(G325),ISNUMBER(H325)),IF(H325&gt;0,G325/H325,""),"")</f>
        <v/>
      </c>
      <c r="L325" s="24" t="str">
        <f>IF(AND(ISNUMBER(J325),ISNUMBER(K325)),IF(J325&gt;0,K325/J325,""),"")</f>
        <v/>
      </c>
    </row>
    <row r="326" spans="1:12" x14ac:dyDescent="0.25">
      <c r="A326" s="18"/>
      <c r="B326" s="21"/>
      <c r="C326" s="19"/>
      <c r="D326" s="23" t="str">
        <f>IF(B326="","",IFERROR(VLOOKUP(B326,Frentes!$A$5:$B$64,2,0),""))</f>
        <v/>
      </c>
      <c r="E326" s="17"/>
      <c r="F326" s="17"/>
      <c r="G326" s="17"/>
      <c r="H326" s="17"/>
      <c r="I326" s="19"/>
      <c r="J326" s="23" t="str">
        <f>IF(AND(ISNUMBER(E326),ISNUMBER(F326)),IF(F326&gt;0,E326/F326,""),"")</f>
        <v/>
      </c>
      <c r="K326" s="23" t="str">
        <f>IF(AND(ISNUMBER(G326),ISNUMBER(H326)),IF(H326&gt;0,G326/H326,""),"")</f>
        <v/>
      </c>
      <c r="L326" s="24" t="str">
        <f>IF(AND(ISNUMBER(J326),ISNUMBER(K326)),IF(J326&gt;0,K326/J326,""),"")</f>
        <v/>
      </c>
    </row>
    <row r="327" spans="1:12" x14ac:dyDescent="0.25">
      <c r="A327" s="18"/>
      <c r="B327" s="21"/>
      <c r="C327" s="19"/>
      <c r="D327" s="23" t="str">
        <f>IF(B327="","",IFERROR(VLOOKUP(B327,Frentes!$A$5:$B$64,2,0),""))</f>
        <v/>
      </c>
      <c r="E327" s="17"/>
      <c r="F327" s="17"/>
      <c r="G327" s="17"/>
      <c r="H327" s="17"/>
      <c r="I327" s="19"/>
      <c r="J327" s="23" t="str">
        <f>IF(AND(ISNUMBER(E327),ISNUMBER(F327)),IF(F327&gt;0,E327/F327,""),"")</f>
        <v/>
      </c>
      <c r="K327" s="23" t="str">
        <f>IF(AND(ISNUMBER(G327),ISNUMBER(H327)),IF(H327&gt;0,G327/H327,""),"")</f>
        <v/>
      </c>
      <c r="L327" s="24" t="str">
        <f>IF(AND(ISNUMBER(J327),ISNUMBER(K327)),IF(J327&gt;0,K327/J327,""),"")</f>
        <v/>
      </c>
    </row>
    <row r="328" spans="1:12" x14ac:dyDescent="0.25">
      <c r="A328" s="18"/>
      <c r="B328" s="21"/>
      <c r="C328" s="19"/>
      <c r="D328" s="23" t="str">
        <f>IF(B328="","",IFERROR(VLOOKUP(B328,Frentes!$A$5:$B$64,2,0),""))</f>
        <v/>
      </c>
      <c r="E328" s="17"/>
      <c r="F328" s="17"/>
      <c r="G328" s="17"/>
      <c r="H328" s="17"/>
      <c r="I328" s="19"/>
      <c r="J328" s="23" t="str">
        <f>IF(AND(ISNUMBER(E328),ISNUMBER(F328)),IF(F328&gt;0,E328/F328,""),"")</f>
        <v/>
      </c>
      <c r="K328" s="23" t="str">
        <f>IF(AND(ISNUMBER(G328),ISNUMBER(H328)),IF(H328&gt;0,G328/H328,""),"")</f>
        <v/>
      </c>
      <c r="L328" s="24" t="str">
        <f>IF(AND(ISNUMBER(J328),ISNUMBER(K328)),IF(J328&gt;0,K328/J328,""),"")</f>
        <v/>
      </c>
    </row>
    <row r="329" spans="1:12" x14ac:dyDescent="0.25">
      <c r="A329" s="18"/>
      <c r="B329" s="21"/>
      <c r="C329" s="19"/>
      <c r="D329" s="23" t="str">
        <f>IF(B329="","",IFERROR(VLOOKUP(B329,Frentes!$A$5:$B$64,2,0),""))</f>
        <v/>
      </c>
      <c r="E329" s="17"/>
      <c r="F329" s="17"/>
      <c r="G329" s="17"/>
      <c r="H329" s="17"/>
      <c r="I329" s="19"/>
      <c r="J329" s="23" t="str">
        <f>IF(AND(ISNUMBER(E329),ISNUMBER(F329)),IF(F329&gt;0,E329/F329,""),"")</f>
        <v/>
      </c>
      <c r="K329" s="23" t="str">
        <f>IF(AND(ISNUMBER(G329),ISNUMBER(H329)),IF(H329&gt;0,G329/H329,""),"")</f>
        <v/>
      </c>
      <c r="L329" s="24" t="str">
        <f>IF(AND(ISNUMBER(J329),ISNUMBER(K329)),IF(J329&gt;0,K329/J329,""),"")</f>
        <v/>
      </c>
    </row>
    <row r="330" spans="1:12" x14ac:dyDescent="0.25">
      <c r="A330" s="18"/>
      <c r="B330" s="21"/>
      <c r="C330" s="19"/>
      <c r="D330" s="23" t="str">
        <f>IF(B330="","",IFERROR(VLOOKUP(B330,Frentes!$A$5:$B$64,2,0),""))</f>
        <v/>
      </c>
      <c r="E330" s="17"/>
      <c r="F330" s="17"/>
      <c r="G330" s="17"/>
      <c r="H330" s="17"/>
      <c r="I330" s="19"/>
      <c r="J330" s="23" t="str">
        <f>IF(AND(ISNUMBER(E330),ISNUMBER(F330)),IF(F330&gt;0,E330/F330,""),"")</f>
        <v/>
      </c>
      <c r="K330" s="23" t="str">
        <f>IF(AND(ISNUMBER(G330),ISNUMBER(H330)),IF(H330&gt;0,G330/H330,""),"")</f>
        <v/>
      </c>
      <c r="L330" s="24" t="str">
        <f>IF(AND(ISNUMBER(J330),ISNUMBER(K330)),IF(J330&gt;0,K330/J330,""),"")</f>
        <v/>
      </c>
    </row>
    <row r="331" spans="1:12" x14ac:dyDescent="0.25">
      <c r="A331" s="18"/>
      <c r="B331" s="21"/>
      <c r="C331" s="19"/>
      <c r="D331" s="23" t="str">
        <f>IF(B331="","",IFERROR(VLOOKUP(B331,Frentes!$A$5:$B$64,2,0),""))</f>
        <v/>
      </c>
      <c r="E331" s="17"/>
      <c r="F331" s="17"/>
      <c r="G331" s="17"/>
      <c r="H331" s="17"/>
      <c r="I331" s="19"/>
      <c r="J331" s="23" t="str">
        <f>IF(AND(ISNUMBER(E331),ISNUMBER(F331)),IF(F331&gt;0,E331/F331,""),"")</f>
        <v/>
      </c>
      <c r="K331" s="23" t="str">
        <f>IF(AND(ISNUMBER(G331),ISNUMBER(H331)),IF(H331&gt;0,G331/H331,""),"")</f>
        <v/>
      </c>
      <c r="L331" s="24" t="str">
        <f>IF(AND(ISNUMBER(J331),ISNUMBER(K331)),IF(J331&gt;0,K331/J331,""),"")</f>
        <v/>
      </c>
    </row>
    <row r="332" spans="1:12" x14ac:dyDescent="0.25">
      <c r="A332" s="18"/>
      <c r="B332" s="21"/>
      <c r="C332" s="19"/>
      <c r="D332" s="23" t="str">
        <f>IF(B332="","",IFERROR(VLOOKUP(B332,Frentes!$A$5:$B$64,2,0),""))</f>
        <v/>
      </c>
      <c r="E332" s="17"/>
      <c r="F332" s="17"/>
      <c r="G332" s="17"/>
      <c r="H332" s="17"/>
      <c r="I332" s="19"/>
      <c r="J332" s="23" t="str">
        <f>IF(AND(ISNUMBER(E332),ISNUMBER(F332)),IF(F332&gt;0,E332/F332,""),"")</f>
        <v/>
      </c>
      <c r="K332" s="23" t="str">
        <f>IF(AND(ISNUMBER(G332),ISNUMBER(H332)),IF(H332&gt;0,G332/H332,""),"")</f>
        <v/>
      </c>
      <c r="L332" s="24" t="str">
        <f>IF(AND(ISNUMBER(J332),ISNUMBER(K332)),IF(J332&gt;0,K332/J332,""),"")</f>
        <v/>
      </c>
    </row>
    <row r="333" spans="1:12" x14ac:dyDescent="0.25">
      <c r="A333" s="18"/>
      <c r="B333" s="21"/>
      <c r="C333" s="19"/>
      <c r="D333" s="23" t="str">
        <f>IF(B333="","",IFERROR(VLOOKUP(B333,Frentes!$A$5:$B$64,2,0),""))</f>
        <v/>
      </c>
      <c r="E333" s="17"/>
      <c r="F333" s="17"/>
      <c r="G333" s="17"/>
      <c r="H333" s="17"/>
      <c r="I333" s="19"/>
      <c r="J333" s="23" t="str">
        <f>IF(AND(ISNUMBER(E333),ISNUMBER(F333)),IF(F333&gt;0,E333/F333,""),"")</f>
        <v/>
      </c>
      <c r="K333" s="23" t="str">
        <f>IF(AND(ISNUMBER(G333),ISNUMBER(H333)),IF(H333&gt;0,G333/H333,""),"")</f>
        <v/>
      </c>
      <c r="L333" s="24" t="str">
        <f>IF(AND(ISNUMBER(J333),ISNUMBER(K333)),IF(J333&gt;0,K333/J333,""),"")</f>
        <v/>
      </c>
    </row>
    <row r="334" spans="1:12" x14ac:dyDescent="0.25">
      <c r="A334" s="18"/>
      <c r="B334" s="21"/>
      <c r="C334" s="19"/>
      <c r="D334" s="23" t="str">
        <f>IF(B334="","",IFERROR(VLOOKUP(B334,Frentes!$A$5:$B$64,2,0),""))</f>
        <v/>
      </c>
      <c r="E334" s="17"/>
      <c r="F334" s="17"/>
      <c r="G334" s="17"/>
      <c r="H334" s="17"/>
      <c r="I334" s="19"/>
      <c r="J334" s="23" t="str">
        <f>IF(AND(ISNUMBER(E334),ISNUMBER(F334)),IF(F334&gt;0,E334/F334,""),"")</f>
        <v/>
      </c>
      <c r="K334" s="23" t="str">
        <f>IF(AND(ISNUMBER(G334),ISNUMBER(H334)),IF(H334&gt;0,G334/H334,""),"")</f>
        <v/>
      </c>
      <c r="L334" s="24" t="str">
        <f>IF(AND(ISNUMBER(J334),ISNUMBER(K334)),IF(J334&gt;0,K334/J334,""),"")</f>
        <v/>
      </c>
    </row>
    <row r="335" spans="1:12" x14ac:dyDescent="0.25">
      <c r="A335" s="18"/>
      <c r="B335" s="21"/>
      <c r="C335" s="19"/>
      <c r="D335" s="23" t="str">
        <f>IF(B335="","",IFERROR(VLOOKUP(B335,Frentes!$A$5:$B$64,2,0),""))</f>
        <v/>
      </c>
      <c r="E335" s="17"/>
      <c r="F335" s="17"/>
      <c r="G335" s="17"/>
      <c r="H335" s="17"/>
      <c r="I335" s="19"/>
      <c r="J335" s="23" t="str">
        <f>IF(AND(ISNUMBER(E335),ISNUMBER(F335)),IF(F335&gt;0,E335/F335,""),"")</f>
        <v/>
      </c>
      <c r="K335" s="23" t="str">
        <f>IF(AND(ISNUMBER(G335),ISNUMBER(H335)),IF(H335&gt;0,G335/H335,""),"")</f>
        <v/>
      </c>
      <c r="L335" s="24" t="str">
        <f>IF(AND(ISNUMBER(J335),ISNUMBER(K335)),IF(J335&gt;0,K335/J335,""),"")</f>
        <v/>
      </c>
    </row>
    <row r="336" spans="1:12" x14ac:dyDescent="0.25">
      <c r="A336" s="18"/>
      <c r="B336" s="21"/>
      <c r="C336" s="19"/>
      <c r="D336" s="23" t="str">
        <f>IF(B336="","",IFERROR(VLOOKUP(B336,Frentes!$A$5:$B$64,2,0),""))</f>
        <v/>
      </c>
      <c r="E336" s="17"/>
      <c r="F336" s="17"/>
      <c r="G336" s="17"/>
      <c r="H336" s="17"/>
      <c r="I336" s="19"/>
      <c r="J336" s="23" t="str">
        <f>IF(AND(ISNUMBER(E336),ISNUMBER(F336)),IF(F336&gt;0,E336/F336,""),"")</f>
        <v/>
      </c>
      <c r="K336" s="23" t="str">
        <f>IF(AND(ISNUMBER(G336),ISNUMBER(H336)),IF(H336&gt;0,G336/H336,""),"")</f>
        <v/>
      </c>
      <c r="L336" s="24" t="str">
        <f>IF(AND(ISNUMBER(J336),ISNUMBER(K336)),IF(J336&gt;0,K336/J336,""),"")</f>
        <v/>
      </c>
    </row>
    <row r="337" spans="1:12" x14ac:dyDescent="0.25">
      <c r="A337" s="18"/>
      <c r="B337" s="21"/>
      <c r="C337" s="19"/>
      <c r="D337" s="23" t="str">
        <f>IF(B337="","",IFERROR(VLOOKUP(B337,Frentes!$A$5:$B$64,2,0),""))</f>
        <v/>
      </c>
      <c r="E337" s="17"/>
      <c r="F337" s="17"/>
      <c r="G337" s="17"/>
      <c r="H337" s="17"/>
      <c r="I337" s="19"/>
      <c r="J337" s="23" t="str">
        <f>IF(AND(ISNUMBER(E337),ISNUMBER(F337)),IF(F337&gt;0,E337/F337,""),"")</f>
        <v/>
      </c>
      <c r="K337" s="23" t="str">
        <f>IF(AND(ISNUMBER(G337),ISNUMBER(H337)),IF(H337&gt;0,G337/H337,""),"")</f>
        <v/>
      </c>
      <c r="L337" s="24" t="str">
        <f>IF(AND(ISNUMBER(J337),ISNUMBER(K337)),IF(J337&gt;0,K337/J337,""),"")</f>
        <v/>
      </c>
    </row>
    <row r="338" spans="1:12" x14ac:dyDescent="0.25">
      <c r="A338" s="18"/>
      <c r="B338" s="21"/>
      <c r="C338" s="19"/>
      <c r="D338" s="23" t="str">
        <f>IF(B338="","",IFERROR(VLOOKUP(B338,Frentes!$A$5:$B$64,2,0),""))</f>
        <v/>
      </c>
      <c r="E338" s="17"/>
      <c r="F338" s="17"/>
      <c r="G338" s="17"/>
      <c r="H338" s="17"/>
      <c r="I338" s="19"/>
      <c r="J338" s="23" t="str">
        <f>IF(AND(ISNUMBER(E338),ISNUMBER(F338)),IF(F338&gt;0,E338/F338,""),"")</f>
        <v/>
      </c>
      <c r="K338" s="23" t="str">
        <f>IF(AND(ISNUMBER(G338),ISNUMBER(H338)),IF(H338&gt;0,G338/H338,""),"")</f>
        <v/>
      </c>
      <c r="L338" s="24" t="str">
        <f>IF(AND(ISNUMBER(J338),ISNUMBER(K338)),IF(J338&gt;0,K338/J338,""),"")</f>
        <v/>
      </c>
    </row>
    <row r="339" spans="1:12" x14ac:dyDescent="0.25">
      <c r="A339" s="18"/>
      <c r="B339" s="21"/>
      <c r="C339" s="19"/>
      <c r="D339" s="23" t="str">
        <f>IF(B339="","",IFERROR(VLOOKUP(B339,Frentes!$A$5:$B$64,2,0),""))</f>
        <v/>
      </c>
      <c r="E339" s="17"/>
      <c r="F339" s="17"/>
      <c r="G339" s="17"/>
      <c r="H339" s="17"/>
      <c r="I339" s="19"/>
      <c r="J339" s="23" t="str">
        <f>IF(AND(ISNUMBER(E339),ISNUMBER(F339)),IF(F339&gt;0,E339/F339,""),"")</f>
        <v/>
      </c>
      <c r="K339" s="23" t="str">
        <f>IF(AND(ISNUMBER(G339),ISNUMBER(H339)),IF(H339&gt;0,G339/H339,""),"")</f>
        <v/>
      </c>
      <c r="L339" s="24" t="str">
        <f>IF(AND(ISNUMBER(J339),ISNUMBER(K339)),IF(J339&gt;0,K339/J339,""),"")</f>
        <v/>
      </c>
    </row>
    <row r="340" spans="1:12" x14ac:dyDescent="0.25">
      <c r="A340" s="18"/>
      <c r="B340" s="21"/>
      <c r="C340" s="19"/>
      <c r="D340" s="23" t="str">
        <f>IF(B340="","",IFERROR(VLOOKUP(B340,Frentes!$A$5:$B$64,2,0),""))</f>
        <v/>
      </c>
      <c r="E340" s="17"/>
      <c r="F340" s="17"/>
      <c r="G340" s="17"/>
      <c r="H340" s="17"/>
      <c r="I340" s="19"/>
      <c r="J340" s="23" t="str">
        <f>IF(AND(ISNUMBER(E340),ISNUMBER(F340)),IF(F340&gt;0,E340/F340,""),"")</f>
        <v/>
      </c>
      <c r="K340" s="23" t="str">
        <f>IF(AND(ISNUMBER(G340),ISNUMBER(H340)),IF(H340&gt;0,G340/H340,""),"")</f>
        <v/>
      </c>
      <c r="L340" s="24" t="str">
        <f>IF(AND(ISNUMBER(J340),ISNUMBER(K340)),IF(J340&gt;0,K340/J340,""),"")</f>
        <v/>
      </c>
    </row>
    <row r="341" spans="1:12" x14ac:dyDescent="0.25">
      <c r="A341" s="18"/>
      <c r="B341" s="21"/>
      <c r="C341" s="19"/>
      <c r="D341" s="23" t="str">
        <f>IF(B341="","",IFERROR(VLOOKUP(B341,Frentes!$A$5:$B$64,2,0),""))</f>
        <v/>
      </c>
      <c r="E341" s="17"/>
      <c r="F341" s="17"/>
      <c r="G341" s="17"/>
      <c r="H341" s="17"/>
      <c r="I341" s="19"/>
      <c r="J341" s="23" t="str">
        <f>IF(AND(ISNUMBER(E341),ISNUMBER(F341)),IF(F341&gt;0,E341/F341,""),"")</f>
        <v/>
      </c>
      <c r="K341" s="23" t="str">
        <f>IF(AND(ISNUMBER(G341),ISNUMBER(H341)),IF(H341&gt;0,G341/H341,""),"")</f>
        <v/>
      </c>
      <c r="L341" s="24" t="str">
        <f>IF(AND(ISNUMBER(J341),ISNUMBER(K341)),IF(J341&gt;0,K341/J341,""),"")</f>
        <v/>
      </c>
    </row>
    <row r="342" spans="1:12" x14ac:dyDescent="0.25">
      <c r="A342" s="18"/>
      <c r="B342" s="21"/>
      <c r="C342" s="19"/>
      <c r="D342" s="23" t="str">
        <f>IF(B342="","",IFERROR(VLOOKUP(B342,Frentes!$A$5:$B$64,2,0),""))</f>
        <v/>
      </c>
      <c r="E342" s="17"/>
      <c r="F342" s="17"/>
      <c r="G342" s="17"/>
      <c r="H342" s="17"/>
      <c r="I342" s="19"/>
      <c r="J342" s="23" t="str">
        <f>IF(AND(ISNUMBER(E342),ISNUMBER(F342)),IF(F342&gt;0,E342/F342,""),"")</f>
        <v/>
      </c>
      <c r="K342" s="23" t="str">
        <f>IF(AND(ISNUMBER(G342),ISNUMBER(H342)),IF(H342&gt;0,G342/H342,""),"")</f>
        <v/>
      </c>
      <c r="L342" s="24" t="str">
        <f>IF(AND(ISNUMBER(J342),ISNUMBER(K342)),IF(J342&gt;0,K342/J342,""),"")</f>
        <v/>
      </c>
    </row>
    <row r="343" spans="1:12" x14ac:dyDescent="0.25">
      <c r="A343" s="18"/>
      <c r="B343" s="21"/>
      <c r="C343" s="19"/>
      <c r="D343" s="23" t="str">
        <f>IF(B343="","",IFERROR(VLOOKUP(B343,Frentes!$A$5:$B$64,2,0),""))</f>
        <v/>
      </c>
      <c r="E343" s="17"/>
      <c r="F343" s="17"/>
      <c r="G343" s="17"/>
      <c r="H343" s="17"/>
      <c r="I343" s="19"/>
      <c r="J343" s="23" t="str">
        <f>IF(AND(ISNUMBER(E343),ISNUMBER(F343)),IF(F343&gt;0,E343/F343,""),"")</f>
        <v/>
      </c>
      <c r="K343" s="23" t="str">
        <f>IF(AND(ISNUMBER(G343),ISNUMBER(H343)),IF(H343&gt;0,G343/H343,""),"")</f>
        <v/>
      </c>
      <c r="L343" s="24" t="str">
        <f>IF(AND(ISNUMBER(J343),ISNUMBER(K343)),IF(J343&gt;0,K343/J343,""),"")</f>
        <v/>
      </c>
    </row>
    <row r="344" spans="1:12" x14ac:dyDescent="0.25">
      <c r="A344" s="18"/>
      <c r="B344" s="21"/>
      <c r="C344" s="19"/>
      <c r="D344" s="23" t="str">
        <f>IF(B344="","",IFERROR(VLOOKUP(B344,Frentes!$A$5:$B$64,2,0),""))</f>
        <v/>
      </c>
      <c r="E344" s="17"/>
      <c r="F344" s="17"/>
      <c r="G344" s="17"/>
      <c r="H344" s="17"/>
      <c r="I344" s="19"/>
      <c r="J344" s="23" t="str">
        <f>IF(AND(ISNUMBER(E344),ISNUMBER(F344)),IF(F344&gt;0,E344/F344,""),"")</f>
        <v/>
      </c>
      <c r="K344" s="23" t="str">
        <f>IF(AND(ISNUMBER(G344),ISNUMBER(H344)),IF(H344&gt;0,G344/H344,""),"")</f>
        <v/>
      </c>
      <c r="L344" s="24" t="str">
        <f>IF(AND(ISNUMBER(J344),ISNUMBER(K344)),IF(J344&gt;0,K344/J344,""),"")</f>
        <v/>
      </c>
    </row>
    <row r="345" spans="1:12" x14ac:dyDescent="0.25">
      <c r="A345" s="18"/>
      <c r="B345" s="21"/>
      <c r="C345" s="19"/>
      <c r="D345" s="23" t="str">
        <f>IF(B345="","",IFERROR(VLOOKUP(B345,Frentes!$A$5:$B$64,2,0),""))</f>
        <v/>
      </c>
      <c r="E345" s="17"/>
      <c r="F345" s="17"/>
      <c r="G345" s="17"/>
      <c r="H345" s="17"/>
      <c r="I345" s="19"/>
      <c r="J345" s="23" t="str">
        <f>IF(AND(ISNUMBER(E345),ISNUMBER(F345)),IF(F345&gt;0,E345/F345,""),"")</f>
        <v/>
      </c>
      <c r="K345" s="23" t="str">
        <f>IF(AND(ISNUMBER(G345),ISNUMBER(H345)),IF(H345&gt;0,G345/H345,""),"")</f>
        <v/>
      </c>
      <c r="L345" s="24" t="str">
        <f>IF(AND(ISNUMBER(J345),ISNUMBER(K345)),IF(J345&gt;0,K345/J345,""),"")</f>
        <v/>
      </c>
    </row>
    <row r="346" spans="1:12" x14ac:dyDescent="0.25">
      <c r="A346" s="18"/>
      <c r="B346" s="21"/>
      <c r="C346" s="19"/>
      <c r="D346" s="23" t="str">
        <f>IF(B346="","",IFERROR(VLOOKUP(B346,Frentes!$A$5:$B$64,2,0),""))</f>
        <v/>
      </c>
      <c r="E346" s="17"/>
      <c r="F346" s="17"/>
      <c r="G346" s="17"/>
      <c r="H346" s="17"/>
      <c r="I346" s="19"/>
      <c r="J346" s="23" t="str">
        <f>IF(AND(ISNUMBER(E346),ISNUMBER(F346)),IF(F346&gt;0,E346/F346,""),"")</f>
        <v/>
      </c>
      <c r="K346" s="23" t="str">
        <f>IF(AND(ISNUMBER(G346),ISNUMBER(H346)),IF(H346&gt;0,G346/H346,""),"")</f>
        <v/>
      </c>
      <c r="L346" s="24" t="str">
        <f>IF(AND(ISNUMBER(J346),ISNUMBER(K346)),IF(J346&gt;0,K346/J346,""),"")</f>
        <v/>
      </c>
    </row>
    <row r="347" spans="1:12" x14ac:dyDescent="0.25">
      <c r="A347" s="18"/>
      <c r="B347" s="21"/>
      <c r="C347" s="19"/>
      <c r="D347" s="23" t="str">
        <f>IF(B347="","",IFERROR(VLOOKUP(B347,Frentes!$A$5:$B$64,2,0),""))</f>
        <v/>
      </c>
      <c r="E347" s="17"/>
      <c r="F347" s="17"/>
      <c r="G347" s="17"/>
      <c r="H347" s="17"/>
      <c r="I347" s="19"/>
      <c r="J347" s="23" t="str">
        <f>IF(AND(ISNUMBER(E347),ISNUMBER(F347)),IF(F347&gt;0,E347/F347,""),"")</f>
        <v/>
      </c>
      <c r="K347" s="23" t="str">
        <f>IF(AND(ISNUMBER(G347),ISNUMBER(H347)),IF(H347&gt;0,G347/H347,""),"")</f>
        <v/>
      </c>
      <c r="L347" s="24" t="str">
        <f>IF(AND(ISNUMBER(J347),ISNUMBER(K347)),IF(J347&gt;0,K347/J347,""),"")</f>
        <v/>
      </c>
    </row>
    <row r="348" spans="1:12" x14ac:dyDescent="0.25">
      <c r="A348" s="18"/>
      <c r="B348" s="21"/>
      <c r="C348" s="19"/>
      <c r="D348" s="23" t="str">
        <f>IF(B348="","",IFERROR(VLOOKUP(B348,Frentes!$A$5:$B$64,2,0),""))</f>
        <v/>
      </c>
      <c r="E348" s="17"/>
      <c r="F348" s="17"/>
      <c r="G348" s="17"/>
      <c r="H348" s="17"/>
      <c r="I348" s="19"/>
      <c r="J348" s="23" t="str">
        <f>IF(AND(ISNUMBER(E348),ISNUMBER(F348)),IF(F348&gt;0,E348/F348,""),"")</f>
        <v/>
      </c>
      <c r="K348" s="23" t="str">
        <f>IF(AND(ISNUMBER(G348),ISNUMBER(H348)),IF(H348&gt;0,G348/H348,""),"")</f>
        <v/>
      </c>
      <c r="L348" s="24" t="str">
        <f>IF(AND(ISNUMBER(J348),ISNUMBER(K348)),IF(J348&gt;0,K348/J348,""),"")</f>
        <v/>
      </c>
    </row>
    <row r="349" spans="1:12" x14ac:dyDescent="0.25">
      <c r="A349" s="18"/>
      <c r="B349" s="21"/>
      <c r="C349" s="19"/>
      <c r="D349" s="23" t="str">
        <f>IF(B349="","",IFERROR(VLOOKUP(B349,Frentes!$A$5:$B$64,2,0),""))</f>
        <v/>
      </c>
      <c r="E349" s="17"/>
      <c r="F349" s="17"/>
      <c r="G349" s="17"/>
      <c r="H349" s="17"/>
      <c r="I349" s="19"/>
      <c r="J349" s="23" t="str">
        <f>IF(AND(ISNUMBER(E349),ISNUMBER(F349)),IF(F349&gt;0,E349/F349,""),"")</f>
        <v/>
      </c>
      <c r="K349" s="23" t="str">
        <f>IF(AND(ISNUMBER(G349),ISNUMBER(H349)),IF(H349&gt;0,G349/H349,""),"")</f>
        <v/>
      </c>
      <c r="L349" s="24" t="str">
        <f>IF(AND(ISNUMBER(J349),ISNUMBER(K349)),IF(J349&gt;0,K349/J349,""),"")</f>
        <v/>
      </c>
    </row>
    <row r="350" spans="1:12" x14ac:dyDescent="0.25">
      <c r="A350" s="18"/>
      <c r="B350" s="21"/>
      <c r="C350" s="19"/>
      <c r="D350" s="23" t="str">
        <f>IF(B350="","",IFERROR(VLOOKUP(B350,Frentes!$A$5:$B$64,2,0),""))</f>
        <v/>
      </c>
      <c r="E350" s="17"/>
      <c r="F350" s="17"/>
      <c r="G350" s="17"/>
      <c r="H350" s="17"/>
      <c r="I350" s="19"/>
      <c r="J350" s="23" t="str">
        <f>IF(AND(ISNUMBER(E350),ISNUMBER(F350)),IF(F350&gt;0,E350/F350,""),"")</f>
        <v/>
      </c>
      <c r="K350" s="23" t="str">
        <f>IF(AND(ISNUMBER(G350),ISNUMBER(H350)),IF(H350&gt;0,G350/H350,""),"")</f>
        <v/>
      </c>
      <c r="L350" s="24" t="str">
        <f>IF(AND(ISNUMBER(J350),ISNUMBER(K350)),IF(J350&gt;0,K350/J350,""),"")</f>
        <v/>
      </c>
    </row>
    <row r="351" spans="1:12" x14ac:dyDescent="0.25">
      <c r="A351" s="18"/>
      <c r="B351" s="21"/>
      <c r="C351" s="19"/>
      <c r="D351" s="23" t="str">
        <f>IF(B351="","",IFERROR(VLOOKUP(B351,Frentes!$A$5:$B$64,2,0),""))</f>
        <v/>
      </c>
      <c r="E351" s="17"/>
      <c r="F351" s="17"/>
      <c r="G351" s="17"/>
      <c r="H351" s="17"/>
      <c r="I351" s="19"/>
      <c r="J351" s="23" t="str">
        <f>IF(AND(ISNUMBER(E351),ISNUMBER(F351)),IF(F351&gt;0,E351/F351,""),"")</f>
        <v/>
      </c>
      <c r="K351" s="23" t="str">
        <f>IF(AND(ISNUMBER(G351),ISNUMBER(H351)),IF(H351&gt;0,G351/H351,""),"")</f>
        <v/>
      </c>
      <c r="L351" s="24" t="str">
        <f>IF(AND(ISNUMBER(J351),ISNUMBER(K351)),IF(J351&gt;0,K351/J351,""),"")</f>
        <v/>
      </c>
    </row>
    <row r="352" spans="1:12" x14ac:dyDescent="0.25">
      <c r="A352" s="18"/>
      <c r="B352" s="21"/>
      <c r="C352" s="19"/>
      <c r="D352" s="23" t="str">
        <f>IF(B352="","",IFERROR(VLOOKUP(B352,Frentes!$A$5:$B$64,2,0),""))</f>
        <v/>
      </c>
      <c r="E352" s="17"/>
      <c r="F352" s="17"/>
      <c r="G352" s="17"/>
      <c r="H352" s="17"/>
      <c r="I352" s="19"/>
      <c r="J352" s="23" t="str">
        <f>IF(AND(ISNUMBER(E352),ISNUMBER(F352)),IF(F352&gt;0,E352/F352,""),"")</f>
        <v/>
      </c>
      <c r="K352" s="23" t="str">
        <f>IF(AND(ISNUMBER(G352),ISNUMBER(H352)),IF(H352&gt;0,G352/H352,""),"")</f>
        <v/>
      </c>
      <c r="L352" s="24" t="str">
        <f>IF(AND(ISNUMBER(J352),ISNUMBER(K352)),IF(J352&gt;0,K352/J352,""),"")</f>
        <v/>
      </c>
    </row>
    <row r="353" spans="1:12" x14ac:dyDescent="0.25">
      <c r="A353" s="18"/>
      <c r="B353" s="21"/>
      <c r="C353" s="19"/>
      <c r="D353" s="23" t="str">
        <f>IF(B353="","",IFERROR(VLOOKUP(B353,Frentes!$A$5:$B$64,2,0),""))</f>
        <v/>
      </c>
      <c r="E353" s="17"/>
      <c r="F353" s="17"/>
      <c r="G353" s="17"/>
      <c r="H353" s="17"/>
      <c r="I353" s="19"/>
      <c r="J353" s="23" t="str">
        <f>IF(AND(ISNUMBER(E353),ISNUMBER(F353)),IF(F353&gt;0,E353/F353,""),"")</f>
        <v/>
      </c>
      <c r="K353" s="23" t="str">
        <f>IF(AND(ISNUMBER(G353),ISNUMBER(H353)),IF(H353&gt;0,G353/H353,""),"")</f>
        <v/>
      </c>
      <c r="L353" s="24" t="str">
        <f>IF(AND(ISNUMBER(J353),ISNUMBER(K353)),IF(J353&gt;0,K353/J353,""),"")</f>
        <v/>
      </c>
    </row>
    <row r="354" spans="1:12" x14ac:dyDescent="0.25">
      <c r="A354" s="18"/>
      <c r="B354" s="21"/>
      <c r="C354" s="19"/>
      <c r="D354" s="23" t="str">
        <f>IF(B354="","",IFERROR(VLOOKUP(B354,Frentes!$A$5:$B$64,2,0),""))</f>
        <v/>
      </c>
      <c r="E354" s="17"/>
      <c r="F354" s="17"/>
      <c r="G354" s="17"/>
      <c r="H354" s="17"/>
      <c r="I354" s="19"/>
      <c r="J354" s="23" t="str">
        <f>IF(AND(ISNUMBER(E354),ISNUMBER(F354)),IF(F354&gt;0,E354/F354,""),"")</f>
        <v/>
      </c>
      <c r="K354" s="23" t="str">
        <f>IF(AND(ISNUMBER(G354),ISNUMBER(H354)),IF(H354&gt;0,G354/H354,""),"")</f>
        <v/>
      </c>
      <c r="L354" s="24" t="str">
        <f>IF(AND(ISNUMBER(J354),ISNUMBER(K354)),IF(J354&gt;0,K354/J354,""),"")</f>
        <v/>
      </c>
    </row>
    <row r="355" spans="1:12" x14ac:dyDescent="0.25">
      <c r="A355" s="18"/>
      <c r="B355" s="21"/>
      <c r="C355" s="19"/>
      <c r="D355" s="23" t="str">
        <f>IF(B355="","",IFERROR(VLOOKUP(B355,Frentes!$A$5:$B$64,2,0),""))</f>
        <v/>
      </c>
      <c r="E355" s="17"/>
      <c r="F355" s="17"/>
      <c r="G355" s="17"/>
      <c r="H355" s="17"/>
      <c r="I355" s="19"/>
      <c r="J355" s="23" t="str">
        <f>IF(AND(ISNUMBER(E355),ISNUMBER(F355)),IF(F355&gt;0,E355/F355,""),"")</f>
        <v/>
      </c>
      <c r="K355" s="23" t="str">
        <f>IF(AND(ISNUMBER(G355),ISNUMBER(H355)),IF(H355&gt;0,G355/H355,""),"")</f>
        <v/>
      </c>
      <c r="L355" s="24" t="str">
        <f>IF(AND(ISNUMBER(J355),ISNUMBER(K355)),IF(J355&gt;0,K355/J355,""),"")</f>
        <v/>
      </c>
    </row>
    <row r="356" spans="1:12" x14ac:dyDescent="0.25">
      <c r="A356" s="18"/>
      <c r="B356" s="21"/>
      <c r="C356" s="19"/>
      <c r="D356" s="23" t="str">
        <f>IF(B356="","",IFERROR(VLOOKUP(B356,Frentes!$A$5:$B$64,2,0),""))</f>
        <v/>
      </c>
      <c r="E356" s="17"/>
      <c r="F356" s="17"/>
      <c r="G356" s="17"/>
      <c r="H356" s="17"/>
      <c r="I356" s="19"/>
      <c r="J356" s="23" t="str">
        <f>IF(AND(ISNUMBER(E356),ISNUMBER(F356)),IF(F356&gt;0,E356/F356,""),"")</f>
        <v/>
      </c>
      <c r="K356" s="23" t="str">
        <f>IF(AND(ISNUMBER(G356),ISNUMBER(H356)),IF(H356&gt;0,G356/H356,""),"")</f>
        <v/>
      </c>
      <c r="L356" s="24" t="str">
        <f>IF(AND(ISNUMBER(J356),ISNUMBER(K356)),IF(J356&gt;0,K356/J356,""),"")</f>
        <v/>
      </c>
    </row>
    <row r="357" spans="1:12" x14ac:dyDescent="0.25">
      <c r="A357" s="18"/>
      <c r="B357" s="21"/>
      <c r="C357" s="19"/>
      <c r="D357" s="23" t="str">
        <f>IF(B357="","",IFERROR(VLOOKUP(B357,Frentes!$A$5:$B$64,2,0),""))</f>
        <v/>
      </c>
      <c r="E357" s="17"/>
      <c r="F357" s="17"/>
      <c r="G357" s="17"/>
      <c r="H357" s="17"/>
      <c r="I357" s="19"/>
      <c r="J357" s="23" t="str">
        <f>IF(AND(ISNUMBER(E357),ISNUMBER(F357)),IF(F357&gt;0,E357/F357,""),"")</f>
        <v/>
      </c>
      <c r="K357" s="23" t="str">
        <f>IF(AND(ISNUMBER(G357),ISNUMBER(H357)),IF(H357&gt;0,G357/H357,""),"")</f>
        <v/>
      </c>
      <c r="L357" s="24" t="str">
        <f>IF(AND(ISNUMBER(J357),ISNUMBER(K357)),IF(J357&gt;0,K357/J357,""),"")</f>
        <v/>
      </c>
    </row>
    <row r="358" spans="1:12" x14ac:dyDescent="0.25">
      <c r="A358" s="18"/>
      <c r="B358" s="21"/>
      <c r="C358" s="19"/>
      <c r="D358" s="23" t="str">
        <f>IF(B358="","",IFERROR(VLOOKUP(B358,Frentes!$A$5:$B$64,2,0),""))</f>
        <v/>
      </c>
      <c r="E358" s="17"/>
      <c r="F358" s="17"/>
      <c r="G358" s="17"/>
      <c r="H358" s="17"/>
      <c r="I358" s="19"/>
      <c r="J358" s="23" t="str">
        <f>IF(AND(ISNUMBER(E358),ISNUMBER(F358)),IF(F358&gt;0,E358/F358,""),"")</f>
        <v/>
      </c>
      <c r="K358" s="23" t="str">
        <f>IF(AND(ISNUMBER(G358),ISNUMBER(H358)),IF(H358&gt;0,G358/H358,""),"")</f>
        <v/>
      </c>
      <c r="L358" s="24" t="str">
        <f>IF(AND(ISNUMBER(J358),ISNUMBER(K358)),IF(J358&gt;0,K358/J358,""),"")</f>
        <v/>
      </c>
    </row>
    <row r="359" spans="1:12" x14ac:dyDescent="0.25">
      <c r="A359" s="18"/>
      <c r="B359" s="21"/>
      <c r="C359" s="19"/>
      <c r="D359" s="23" t="str">
        <f>IF(B359="","",IFERROR(VLOOKUP(B359,Frentes!$A$5:$B$64,2,0),""))</f>
        <v/>
      </c>
      <c r="E359" s="17"/>
      <c r="F359" s="17"/>
      <c r="G359" s="17"/>
      <c r="H359" s="17"/>
      <c r="I359" s="19"/>
      <c r="J359" s="23" t="str">
        <f>IF(AND(ISNUMBER(E359),ISNUMBER(F359)),IF(F359&gt;0,E359/F359,""),"")</f>
        <v/>
      </c>
      <c r="K359" s="23" t="str">
        <f>IF(AND(ISNUMBER(G359),ISNUMBER(H359)),IF(H359&gt;0,G359/H359,""),"")</f>
        <v/>
      </c>
      <c r="L359" s="24" t="str">
        <f>IF(AND(ISNUMBER(J359),ISNUMBER(K359)),IF(J359&gt;0,K359/J359,""),"")</f>
        <v/>
      </c>
    </row>
    <row r="360" spans="1:12" x14ac:dyDescent="0.25">
      <c r="A360" s="18"/>
      <c r="B360" s="21"/>
      <c r="C360" s="19"/>
      <c r="D360" s="23" t="str">
        <f>IF(B360="","",IFERROR(VLOOKUP(B360,Frentes!$A$5:$B$64,2,0),""))</f>
        <v/>
      </c>
      <c r="E360" s="17"/>
      <c r="F360" s="17"/>
      <c r="G360" s="17"/>
      <c r="H360" s="17"/>
      <c r="I360" s="19"/>
      <c r="J360" s="23" t="str">
        <f>IF(AND(ISNUMBER(E360),ISNUMBER(F360)),IF(F360&gt;0,E360/F360,""),"")</f>
        <v/>
      </c>
      <c r="K360" s="23" t="str">
        <f>IF(AND(ISNUMBER(G360),ISNUMBER(H360)),IF(H360&gt;0,G360/H360,""),"")</f>
        <v/>
      </c>
      <c r="L360" s="24" t="str">
        <f>IF(AND(ISNUMBER(J360),ISNUMBER(K360)),IF(J360&gt;0,K360/J360,""),"")</f>
        <v/>
      </c>
    </row>
    <row r="361" spans="1:12" x14ac:dyDescent="0.25">
      <c r="A361" s="18"/>
      <c r="B361" s="21"/>
      <c r="C361" s="19"/>
      <c r="D361" s="23" t="str">
        <f>IF(B361="","",IFERROR(VLOOKUP(B361,Frentes!$A$5:$B$64,2,0),""))</f>
        <v/>
      </c>
      <c r="E361" s="17"/>
      <c r="F361" s="17"/>
      <c r="G361" s="17"/>
      <c r="H361" s="17"/>
      <c r="I361" s="19"/>
      <c r="J361" s="23" t="str">
        <f>IF(AND(ISNUMBER(E361),ISNUMBER(F361)),IF(F361&gt;0,E361/F361,""),"")</f>
        <v/>
      </c>
      <c r="K361" s="23" t="str">
        <f>IF(AND(ISNUMBER(G361),ISNUMBER(H361)),IF(H361&gt;0,G361/H361,""),"")</f>
        <v/>
      </c>
      <c r="L361" s="24" t="str">
        <f>IF(AND(ISNUMBER(J361),ISNUMBER(K361)),IF(J361&gt;0,K361/J361,""),"")</f>
        <v/>
      </c>
    </row>
    <row r="362" spans="1:12" x14ac:dyDescent="0.25">
      <c r="A362" s="18"/>
      <c r="B362" s="21"/>
      <c r="C362" s="19"/>
      <c r="D362" s="23" t="str">
        <f>IF(B362="","",IFERROR(VLOOKUP(B362,Frentes!$A$5:$B$64,2,0),""))</f>
        <v/>
      </c>
      <c r="E362" s="17"/>
      <c r="F362" s="17"/>
      <c r="G362" s="17"/>
      <c r="H362" s="17"/>
      <c r="I362" s="19"/>
      <c r="J362" s="23" t="str">
        <f>IF(AND(ISNUMBER(E362),ISNUMBER(F362)),IF(F362&gt;0,E362/F362,""),"")</f>
        <v/>
      </c>
      <c r="K362" s="23" t="str">
        <f>IF(AND(ISNUMBER(G362),ISNUMBER(H362)),IF(H362&gt;0,G362/H362,""),"")</f>
        <v/>
      </c>
      <c r="L362" s="24" t="str">
        <f>IF(AND(ISNUMBER(J362),ISNUMBER(K362)),IF(J362&gt;0,K362/J362,""),"")</f>
        <v/>
      </c>
    </row>
    <row r="363" spans="1:12" x14ac:dyDescent="0.25">
      <c r="A363" s="18"/>
      <c r="B363" s="21"/>
      <c r="C363" s="19"/>
      <c r="D363" s="23" t="str">
        <f>IF(B363="","",IFERROR(VLOOKUP(B363,Frentes!$A$5:$B$64,2,0),""))</f>
        <v/>
      </c>
      <c r="E363" s="17"/>
      <c r="F363" s="17"/>
      <c r="G363" s="17"/>
      <c r="H363" s="17"/>
      <c r="I363" s="19"/>
      <c r="J363" s="23" t="str">
        <f>IF(AND(ISNUMBER(E363),ISNUMBER(F363)),IF(F363&gt;0,E363/F363,""),"")</f>
        <v/>
      </c>
      <c r="K363" s="23" t="str">
        <f>IF(AND(ISNUMBER(G363),ISNUMBER(H363)),IF(H363&gt;0,G363/H363,""),"")</f>
        <v/>
      </c>
      <c r="L363" s="24" t="str">
        <f>IF(AND(ISNUMBER(J363),ISNUMBER(K363)),IF(J363&gt;0,K363/J363,""),"")</f>
        <v/>
      </c>
    </row>
    <row r="364" spans="1:12" x14ac:dyDescent="0.25">
      <c r="A364" s="18"/>
      <c r="B364" s="21"/>
      <c r="C364" s="19"/>
      <c r="D364" s="23" t="str">
        <f>IF(B364="","",IFERROR(VLOOKUP(B364,Frentes!$A$5:$B$64,2,0),""))</f>
        <v/>
      </c>
      <c r="E364" s="17"/>
      <c r="F364" s="17"/>
      <c r="G364" s="17"/>
      <c r="H364" s="17"/>
      <c r="I364" s="19"/>
      <c r="J364" s="23" t="str">
        <f>IF(AND(ISNUMBER(E364),ISNUMBER(F364)),IF(F364&gt;0,E364/F364,""),"")</f>
        <v/>
      </c>
      <c r="K364" s="23" t="str">
        <f>IF(AND(ISNUMBER(G364),ISNUMBER(H364)),IF(H364&gt;0,G364/H364,""),"")</f>
        <v/>
      </c>
      <c r="L364" s="24" t="str">
        <f>IF(AND(ISNUMBER(J364),ISNUMBER(K364)),IF(J364&gt;0,K364/J364,""),"")</f>
        <v/>
      </c>
    </row>
    <row r="365" spans="1:12" x14ac:dyDescent="0.25">
      <c r="A365" s="18"/>
      <c r="B365" s="21"/>
      <c r="C365" s="19"/>
      <c r="D365" s="23" t="str">
        <f>IF(B365="","",IFERROR(VLOOKUP(B365,Frentes!$A$5:$B$64,2,0),""))</f>
        <v/>
      </c>
      <c r="E365" s="17"/>
      <c r="F365" s="17"/>
      <c r="G365" s="17"/>
      <c r="H365" s="17"/>
      <c r="I365" s="19"/>
      <c r="J365" s="23" t="str">
        <f>IF(AND(ISNUMBER(E365),ISNUMBER(F365)),IF(F365&gt;0,E365/F365,""),"")</f>
        <v/>
      </c>
      <c r="K365" s="23" t="str">
        <f>IF(AND(ISNUMBER(G365),ISNUMBER(H365)),IF(H365&gt;0,G365/H365,""),"")</f>
        <v/>
      </c>
      <c r="L365" s="24" t="str">
        <f>IF(AND(ISNUMBER(J365),ISNUMBER(K365)),IF(J365&gt;0,K365/J365,""),"")</f>
        <v/>
      </c>
    </row>
    <row r="366" spans="1:12" x14ac:dyDescent="0.25">
      <c r="A366" s="18"/>
      <c r="B366" s="21"/>
      <c r="C366" s="19"/>
      <c r="D366" s="23" t="str">
        <f>IF(B366="","",IFERROR(VLOOKUP(B366,Frentes!$A$5:$B$64,2,0),""))</f>
        <v/>
      </c>
      <c r="E366" s="17"/>
      <c r="F366" s="17"/>
      <c r="G366" s="17"/>
      <c r="H366" s="17"/>
      <c r="I366" s="19"/>
      <c r="J366" s="23" t="str">
        <f>IF(AND(ISNUMBER(E366),ISNUMBER(F366)),IF(F366&gt;0,E366/F366,""),"")</f>
        <v/>
      </c>
      <c r="K366" s="23" t="str">
        <f>IF(AND(ISNUMBER(G366),ISNUMBER(H366)),IF(H366&gt;0,G366/H366,""),"")</f>
        <v/>
      </c>
      <c r="L366" s="24" t="str">
        <f>IF(AND(ISNUMBER(J366),ISNUMBER(K366)),IF(J366&gt;0,K366/J366,""),"")</f>
        <v/>
      </c>
    </row>
    <row r="367" spans="1:12" x14ac:dyDescent="0.25">
      <c r="A367" s="18"/>
      <c r="B367" s="21"/>
      <c r="C367" s="19"/>
      <c r="D367" s="23" t="str">
        <f>IF(B367="","",IFERROR(VLOOKUP(B367,Frentes!$A$5:$B$64,2,0),""))</f>
        <v/>
      </c>
      <c r="E367" s="17"/>
      <c r="F367" s="17"/>
      <c r="G367" s="17"/>
      <c r="H367" s="17"/>
      <c r="I367" s="19"/>
      <c r="J367" s="23" t="str">
        <f>IF(AND(ISNUMBER(E367),ISNUMBER(F367)),IF(F367&gt;0,E367/F367,""),"")</f>
        <v/>
      </c>
      <c r="K367" s="23" t="str">
        <f>IF(AND(ISNUMBER(G367),ISNUMBER(H367)),IF(H367&gt;0,G367/H367,""),"")</f>
        <v/>
      </c>
      <c r="L367" s="24" t="str">
        <f>IF(AND(ISNUMBER(J367),ISNUMBER(K367)),IF(J367&gt;0,K367/J367,""),"")</f>
        <v/>
      </c>
    </row>
    <row r="368" spans="1:12" x14ac:dyDescent="0.25">
      <c r="A368" s="18"/>
      <c r="B368" s="21"/>
      <c r="C368" s="19"/>
      <c r="D368" s="23" t="str">
        <f>IF(B368="","",IFERROR(VLOOKUP(B368,Frentes!$A$5:$B$64,2,0),""))</f>
        <v/>
      </c>
      <c r="E368" s="17"/>
      <c r="F368" s="17"/>
      <c r="G368" s="17"/>
      <c r="H368" s="17"/>
      <c r="I368" s="19"/>
      <c r="J368" s="23" t="str">
        <f>IF(AND(ISNUMBER(E368),ISNUMBER(F368)),IF(F368&gt;0,E368/F368,""),"")</f>
        <v/>
      </c>
      <c r="K368" s="23" t="str">
        <f>IF(AND(ISNUMBER(G368),ISNUMBER(H368)),IF(H368&gt;0,G368/H368,""),"")</f>
        <v/>
      </c>
      <c r="L368" s="24" t="str">
        <f>IF(AND(ISNUMBER(J368),ISNUMBER(K368)),IF(J368&gt;0,K368/J368,""),"")</f>
        <v/>
      </c>
    </row>
    <row r="369" spans="1:12" x14ac:dyDescent="0.25">
      <c r="A369" s="18"/>
      <c r="B369" s="21"/>
      <c r="C369" s="19"/>
      <c r="D369" s="23" t="str">
        <f>IF(B369="","",IFERROR(VLOOKUP(B369,Frentes!$A$5:$B$64,2,0),""))</f>
        <v/>
      </c>
      <c r="E369" s="17"/>
      <c r="F369" s="17"/>
      <c r="G369" s="17"/>
      <c r="H369" s="17"/>
      <c r="I369" s="19"/>
      <c r="J369" s="23" t="str">
        <f>IF(AND(ISNUMBER(E369),ISNUMBER(F369)),IF(F369&gt;0,E369/F369,""),"")</f>
        <v/>
      </c>
      <c r="K369" s="23" t="str">
        <f>IF(AND(ISNUMBER(G369),ISNUMBER(H369)),IF(H369&gt;0,G369/H369,""),"")</f>
        <v/>
      </c>
      <c r="L369" s="24" t="str">
        <f>IF(AND(ISNUMBER(J369),ISNUMBER(K369)),IF(J369&gt;0,K369/J369,""),"")</f>
        <v/>
      </c>
    </row>
    <row r="370" spans="1:12" x14ac:dyDescent="0.25">
      <c r="A370" s="18"/>
      <c r="B370" s="21"/>
      <c r="C370" s="19"/>
      <c r="D370" s="23" t="str">
        <f>IF(B370="","",IFERROR(VLOOKUP(B370,Frentes!$A$5:$B$64,2,0),""))</f>
        <v/>
      </c>
      <c r="E370" s="17"/>
      <c r="F370" s="17"/>
      <c r="G370" s="17"/>
      <c r="H370" s="17"/>
      <c r="I370" s="19"/>
      <c r="J370" s="23" t="str">
        <f>IF(AND(ISNUMBER(E370),ISNUMBER(F370)),IF(F370&gt;0,E370/F370,""),"")</f>
        <v/>
      </c>
      <c r="K370" s="23" t="str">
        <f>IF(AND(ISNUMBER(G370),ISNUMBER(H370)),IF(H370&gt;0,G370/H370,""),"")</f>
        <v/>
      </c>
      <c r="L370" s="24" t="str">
        <f>IF(AND(ISNUMBER(J370),ISNUMBER(K370)),IF(J370&gt;0,K370/J370,""),"")</f>
        <v/>
      </c>
    </row>
    <row r="371" spans="1:12" x14ac:dyDescent="0.25">
      <c r="A371" s="18"/>
      <c r="B371" s="21"/>
      <c r="C371" s="19"/>
      <c r="D371" s="23" t="str">
        <f>IF(B371="","",IFERROR(VLOOKUP(B371,Frentes!$A$5:$B$64,2,0),""))</f>
        <v/>
      </c>
      <c r="E371" s="17"/>
      <c r="F371" s="17"/>
      <c r="G371" s="17"/>
      <c r="H371" s="17"/>
      <c r="I371" s="19"/>
      <c r="J371" s="23" t="str">
        <f>IF(AND(ISNUMBER(E371),ISNUMBER(F371)),IF(F371&gt;0,E371/F371,""),"")</f>
        <v/>
      </c>
      <c r="K371" s="23" t="str">
        <f>IF(AND(ISNUMBER(G371),ISNUMBER(H371)),IF(H371&gt;0,G371/H371,""),"")</f>
        <v/>
      </c>
      <c r="L371" s="24" t="str">
        <f>IF(AND(ISNUMBER(J371),ISNUMBER(K371)),IF(J371&gt;0,K371/J371,""),"")</f>
        <v/>
      </c>
    </row>
    <row r="372" spans="1:12" x14ac:dyDescent="0.25">
      <c r="A372" s="18"/>
      <c r="B372" s="21"/>
      <c r="C372" s="19"/>
      <c r="D372" s="23" t="str">
        <f>IF(B372="","",IFERROR(VLOOKUP(B372,Frentes!$A$5:$B$64,2,0),""))</f>
        <v/>
      </c>
      <c r="E372" s="17"/>
      <c r="F372" s="17"/>
      <c r="G372" s="17"/>
      <c r="H372" s="17"/>
      <c r="I372" s="19"/>
      <c r="J372" s="23" t="str">
        <f>IF(AND(ISNUMBER(E372),ISNUMBER(F372)),IF(F372&gt;0,E372/F372,""),"")</f>
        <v/>
      </c>
      <c r="K372" s="23" t="str">
        <f>IF(AND(ISNUMBER(G372),ISNUMBER(H372)),IF(H372&gt;0,G372/H372,""),"")</f>
        <v/>
      </c>
      <c r="L372" s="24" t="str">
        <f>IF(AND(ISNUMBER(J372),ISNUMBER(K372)),IF(J372&gt;0,K372/J372,""),"")</f>
        <v/>
      </c>
    </row>
    <row r="373" spans="1:12" x14ac:dyDescent="0.25">
      <c r="A373" s="18"/>
      <c r="B373" s="21"/>
      <c r="C373" s="19"/>
      <c r="D373" s="23" t="str">
        <f>IF(B373="","",IFERROR(VLOOKUP(B373,Frentes!$A$5:$B$64,2,0),""))</f>
        <v/>
      </c>
      <c r="E373" s="17"/>
      <c r="F373" s="17"/>
      <c r="G373" s="17"/>
      <c r="H373" s="17"/>
      <c r="I373" s="19"/>
      <c r="J373" s="23" t="str">
        <f>IF(AND(ISNUMBER(E373),ISNUMBER(F373)),IF(F373&gt;0,E373/F373,""),"")</f>
        <v/>
      </c>
      <c r="K373" s="23" t="str">
        <f>IF(AND(ISNUMBER(G373),ISNUMBER(H373)),IF(H373&gt;0,G373/H373,""),"")</f>
        <v/>
      </c>
      <c r="L373" s="24" t="str">
        <f>IF(AND(ISNUMBER(J373),ISNUMBER(K373)),IF(J373&gt;0,K373/J373,""),"")</f>
        <v/>
      </c>
    </row>
    <row r="374" spans="1:12" x14ac:dyDescent="0.25">
      <c r="A374" s="18"/>
      <c r="B374" s="21"/>
      <c r="C374" s="19"/>
      <c r="D374" s="23" t="str">
        <f>IF(B374="","",IFERROR(VLOOKUP(B374,Frentes!$A$5:$B$64,2,0),""))</f>
        <v/>
      </c>
      <c r="E374" s="17"/>
      <c r="F374" s="17"/>
      <c r="G374" s="17"/>
      <c r="H374" s="17"/>
      <c r="I374" s="19"/>
      <c r="J374" s="23" t="str">
        <f>IF(AND(ISNUMBER(E374),ISNUMBER(F374)),IF(F374&gt;0,E374/F374,""),"")</f>
        <v/>
      </c>
      <c r="K374" s="23" t="str">
        <f>IF(AND(ISNUMBER(G374),ISNUMBER(H374)),IF(H374&gt;0,G374/H374,""),"")</f>
        <v/>
      </c>
      <c r="L374" s="24" t="str">
        <f>IF(AND(ISNUMBER(J374),ISNUMBER(K374)),IF(J374&gt;0,K374/J374,""),"")</f>
        <v/>
      </c>
    </row>
    <row r="375" spans="1:12" x14ac:dyDescent="0.25">
      <c r="A375" s="18"/>
      <c r="B375" s="21"/>
      <c r="C375" s="19"/>
      <c r="D375" s="23" t="str">
        <f>IF(B375="","",IFERROR(VLOOKUP(B375,Frentes!$A$5:$B$64,2,0),""))</f>
        <v/>
      </c>
      <c r="E375" s="17"/>
      <c r="F375" s="17"/>
      <c r="G375" s="17"/>
      <c r="H375" s="17"/>
      <c r="I375" s="19"/>
      <c r="J375" s="23" t="str">
        <f>IF(AND(ISNUMBER(E375),ISNUMBER(F375)),IF(F375&gt;0,E375/F375,""),"")</f>
        <v/>
      </c>
      <c r="K375" s="23" t="str">
        <f>IF(AND(ISNUMBER(G375),ISNUMBER(H375)),IF(H375&gt;0,G375/H375,""),"")</f>
        <v/>
      </c>
      <c r="L375" s="24" t="str">
        <f>IF(AND(ISNUMBER(J375),ISNUMBER(K375)),IF(J375&gt;0,K375/J375,""),"")</f>
        <v/>
      </c>
    </row>
    <row r="376" spans="1:12" x14ac:dyDescent="0.25">
      <c r="A376" s="18"/>
      <c r="B376" s="21"/>
      <c r="C376" s="19"/>
      <c r="D376" s="23" t="str">
        <f>IF(B376="","",IFERROR(VLOOKUP(B376,Frentes!$A$5:$B$64,2,0),""))</f>
        <v/>
      </c>
      <c r="E376" s="17"/>
      <c r="F376" s="17"/>
      <c r="G376" s="17"/>
      <c r="H376" s="17"/>
      <c r="I376" s="19"/>
      <c r="J376" s="23" t="str">
        <f>IF(AND(ISNUMBER(E376),ISNUMBER(F376)),IF(F376&gt;0,E376/F376,""),"")</f>
        <v/>
      </c>
      <c r="K376" s="23" t="str">
        <f>IF(AND(ISNUMBER(G376),ISNUMBER(H376)),IF(H376&gt;0,G376/H376,""),"")</f>
        <v/>
      </c>
      <c r="L376" s="24" t="str">
        <f>IF(AND(ISNUMBER(J376),ISNUMBER(K376)),IF(J376&gt;0,K376/J376,""),"")</f>
        <v/>
      </c>
    </row>
    <row r="377" spans="1:12" x14ac:dyDescent="0.25">
      <c r="A377" s="18"/>
      <c r="B377" s="21"/>
      <c r="C377" s="19"/>
      <c r="D377" s="23" t="str">
        <f>IF(B377="","",IFERROR(VLOOKUP(B377,Frentes!$A$5:$B$64,2,0),""))</f>
        <v/>
      </c>
      <c r="E377" s="17"/>
      <c r="F377" s="17"/>
      <c r="G377" s="17"/>
      <c r="H377" s="17"/>
      <c r="I377" s="19"/>
      <c r="J377" s="23" t="str">
        <f>IF(AND(ISNUMBER(E377),ISNUMBER(F377)),IF(F377&gt;0,E377/F377,""),"")</f>
        <v/>
      </c>
      <c r="K377" s="23" t="str">
        <f>IF(AND(ISNUMBER(G377),ISNUMBER(H377)),IF(H377&gt;0,G377/H377,""),"")</f>
        <v/>
      </c>
      <c r="L377" s="24" t="str">
        <f>IF(AND(ISNUMBER(J377),ISNUMBER(K377)),IF(J377&gt;0,K377/J377,""),"")</f>
        <v/>
      </c>
    </row>
    <row r="378" spans="1:12" x14ac:dyDescent="0.25">
      <c r="A378" s="18"/>
      <c r="B378" s="21"/>
      <c r="C378" s="19"/>
      <c r="D378" s="23" t="str">
        <f>IF(B378="","",IFERROR(VLOOKUP(B378,Frentes!$A$5:$B$64,2,0),""))</f>
        <v/>
      </c>
      <c r="E378" s="17"/>
      <c r="F378" s="17"/>
      <c r="G378" s="17"/>
      <c r="H378" s="17"/>
      <c r="I378" s="19"/>
      <c r="J378" s="23" t="str">
        <f>IF(AND(ISNUMBER(E378),ISNUMBER(F378)),IF(F378&gt;0,E378/F378,""),"")</f>
        <v/>
      </c>
      <c r="K378" s="23" t="str">
        <f>IF(AND(ISNUMBER(G378),ISNUMBER(H378)),IF(H378&gt;0,G378/H378,""),"")</f>
        <v/>
      </c>
      <c r="L378" s="24" t="str">
        <f>IF(AND(ISNUMBER(J378),ISNUMBER(K378)),IF(J378&gt;0,K378/J378,""),"")</f>
        <v/>
      </c>
    </row>
    <row r="379" spans="1:12" x14ac:dyDescent="0.25">
      <c r="A379" s="18"/>
      <c r="B379" s="21"/>
      <c r="C379" s="19"/>
      <c r="D379" s="23" t="str">
        <f>IF(B379="","",IFERROR(VLOOKUP(B379,Frentes!$A$5:$B$64,2,0),""))</f>
        <v/>
      </c>
      <c r="E379" s="17"/>
      <c r="F379" s="17"/>
      <c r="G379" s="17"/>
      <c r="H379" s="17"/>
      <c r="I379" s="19"/>
      <c r="J379" s="23" t="str">
        <f>IF(AND(ISNUMBER(E379),ISNUMBER(F379)),IF(F379&gt;0,E379/F379,""),"")</f>
        <v/>
      </c>
      <c r="K379" s="23" t="str">
        <f>IF(AND(ISNUMBER(G379),ISNUMBER(H379)),IF(H379&gt;0,G379/H379,""),"")</f>
        <v/>
      </c>
      <c r="L379" s="24" t="str">
        <f>IF(AND(ISNUMBER(J379),ISNUMBER(K379)),IF(J379&gt;0,K379/J379,""),"")</f>
        <v/>
      </c>
    </row>
    <row r="380" spans="1:12" x14ac:dyDescent="0.25">
      <c r="A380" s="18"/>
      <c r="B380" s="21"/>
      <c r="C380" s="19"/>
      <c r="D380" s="23" t="str">
        <f>IF(B380="","",IFERROR(VLOOKUP(B380,Frentes!$A$5:$B$64,2,0),""))</f>
        <v/>
      </c>
      <c r="E380" s="17"/>
      <c r="F380" s="17"/>
      <c r="G380" s="17"/>
      <c r="H380" s="17"/>
      <c r="I380" s="19"/>
      <c r="J380" s="23" t="str">
        <f>IF(AND(ISNUMBER(E380),ISNUMBER(F380)),IF(F380&gt;0,E380/F380,""),"")</f>
        <v/>
      </c>
      <c r="K380" s="23" t="str">
        <f>IF(AND(ISNUMBER(G380),ISNUMBER(H380)),IF(H380&gt;0,G380/H380,""),"")</f>
        <v/>
      </c>
      <c r="L380" s="24" t="str">
        <f>IF(AND(ISNUMBER(J380),ISNUMBER(K380)),IF(J380&gt;0,K380/J380,""),"")</f>
        <v/>
      </c>
    </row>
    <row r="381" spans="1:12" x14ac:dyDescent="0.25">
      <c r="A381" s="18"/>
      <c r="B381" s="21"/>
      <c r="C381" s="19"/>
      <c r="D381" s="23" t="str">
        <f>IF(B381="","",IFERROR(VLOOKUP(B381,Frentes!$A$5:$B$64,2,0),""))</f>
        <v/>
      </c>
      <c r="E381" s="17"/>
      <c r="F381" s="17"/>
      <c r="G381" s="17"/>
      <c r="H381" s="17"/>
      <c r="I381" s="19"/>
      <c r="J381" s="23" t="str">
        <f>IF(AND(ISNUMBER(E381),ISNUMBER(F381)),IF(F381&gt;0,E381/F381,""),"")</f>
        <v/>
      </c>
      <c r="K381" s="23" t="str">
        <f>IF(AND(ISNUMBER(G381),ISNUMBER(H381)),IF(H381&gt;0,G381/H381,""),"")</f>
        <v/>
      </c>
      <c r="L381" s="24" t="str">
        <f>IF(AND(ISNUMBER(J381),ISNUMBER(K381)),IF(J381&gt;0,K381/J381,""),"")</f>
        <v/>
      </c>
    </row>
    <row r="382" spans="1:12" x14ac:dyDescent="0.25">
      <c r="A382" s="18"/>
      <c r="B382" s="21"/>
      <c r="C382" s="19"/>
      <c r="D382" s="23" t="str">
        <f>IF(B382="","",IFERROR(VLOOKUP(B382,Frentes!$A$5:$B$64,2,0),""))</f>
        <v/>
      </c>
      <c r="E382" s="17"/>
      <c r="F382" s="17"/>
      <c r="G382" s="17"/>
      <c r="H382" s="17"/>
      <c r="I382" s="19"/>
      <c r="J382" s="23" t="str">
        <f>IF(AND(ISNUMBER(E382),ISNUMBER(F382)),IF(F382&gt;0,E382/F382,""),"")</f>
        <v/>
      </c>
      <c r="K382" s="23" t="str">
        <f>IF(AND(ISNUMBER(G382),ISNUMBER(H382)),IF(H382&gt;0,G382/H382,""),"")</f>
        <v/>
      </c>
      <c r="L382" s="24" t="str">
        <f>IF(AND(ISNUMBER(J382),ISNUMBER(K382)),IF(J382&gt;0,K382/J382,""),"")</f>
        <v/>
      </c>
    </row>
    <row r="383" spans="1:12" x14ac:dyDescent="0.25">
      <c r="A383" s="18"/>
      <c r="B383" s="21"/>
      <c r="C383" s="19"/>
      <c r="D383" s="23" t="str">
        <f>IF(B383="","",IFERROR(VLOOKUP(B383,Frentes!$A$5:$B$64,2,0),""))</f>
        <v/>
      </c>
      <c r="E383" s="17"/>
      <c r="F383" s="17"/>
      <c r="G383" s="17"/>
      <c r="H383" s="17"/>
      <c r="I383" s="19"/>
      <c r="J383" s="23" t="str">
        <f>IF(AND(ISNUMBER(E383),ISNUMBER(F383)),IF(F383&gt;0,E383/F383,""),"")</f>
        <v/>
      </c>
      <c r="K383" s="23" t="str">
        <f>IF(AND(ISNUMBER(G383),ISNUMBER(H383)),IF(H383&gt;0,G383/H383,""),"")</f>
        <v/>
      </c>
      <c r="L383" s="24" t="str">
        <f>IF(AND(ISNUMBER(J383),ISNUMBER(K383)),IF(J383&gt;0,K383/J383,""),"")</f>
        <v/>
      </c>
    </row>
    <row r="384" spans="1:12" x14ac:dyDescent="0.25">
      <c r="A384" s="18"/>
      <c r="B384" s="21"/>
      <c r="C384" s="19"/>
      <c r="D384" s="23" t="str">
        <f>IF(B384="","",IFERROR(VLOOKUP(B384,Frentes!$A$5:$B$64,2,0),""))</f>
        <v/>
      </c>
      <c r="E384" s="17"/>
      <c r="F384" s="17"/>
      <c r="G384" s="17"/>
      <c r="H384" s="17"/>
      <c r="I384" s="19"/>
      <c r="J384" s="23" t="str">
        <f>IF(AND(ISNUMBER(E384),ISNUMBER(F384)),IF(F384&gt;0,E384/F384,""),"")</f>
        <v/>
      </c>
      <c r="K384" s="23" t="str">
        <f>IF(AND(ISNUMBER(G384),ISNUMBER(H384)),IF(H384&gt;0,G384/H384,""),"")</f>
        <v/>
      </c>
      <c r="L384" s="24" t="str">
        <f>IF(AND(ISNUMBER(J384),ISNUMBER(K384)),IF(J384&gt;0,K384/J384,""),"")</f>
        <v/>
      </c>
    </row>
    <row r="385" spans="1:12" x14ac:dyDescent="0.25">
      <c r="A385" s="18"/>
      <c r="B385" s="21"/>
      <c r="C385" s="19"/>
      <c r="D385" s="23" t="str">
        <f>IF(B385="","",IFERROR(VLOOKUP(B385,Frentes!$A$5:$B$64,2,0),""))</f>
        <v/>
      </c>
      <c r="E385" s="17"/>
      <c r="F385" s="17"/>
      <c r="G385" s="17"/>
      <c r="H385" s="17"/>
      <c r="I385" s="19"/>
      <c r="J385" s="23" t="str">
        <f>IF(AND(ISNUMBER(E385),ISNUMBER(F385)),IF(F385&gt;0,E385/F385,""),"")</f>
        <v/>
      </c>
      <c r="K385" s="23" t="str">
        <f>IF(AND(ISNUMBER(G385),ISNUMBER(H385)),IF(H385&gt;0,G385/H385,""),"")</f>
        <v/>
      </c>
      <c r="L385" s="24" t="str">
        <f>IF(AND(ISNUMBER(J385),ISNUMBER(K385)),IF(J385&gt;0,K385/J385,""),"")</f>
        <v/>
      </c>
    </row>
    <row r="386" spans="1:12" x14ac:dyDescent="0.25">
      <c r="A386" s="18"/>
      <c r="B386" s="21"/>
      <c r="C386" s="19"/>
      <c r="D386" s="23" t="str">
        <f>IF(B386="","",IFERROR(VLOOKUP(B386,Frentes!$A$5:$B$64,2,0),""))</f>
        <v/>
      </c>
      <c r="E386" s="17"/>
      <c r="F386" s="17"/>
      <c r="G386" s="17"/>
      <c r="H386" s="17"/>
      <c r="I386" s="19"/>
      <c r="J386" s="23" t="str">
        <f>IF(AND(ISNUMBER(E386),ISNUMBER(F386)),IF(F386&gt;0,E386/F386,""),"")</f>
        <v/>
      </c>
      <c r="K386" s="23" t="str">
        <f>IF(AND(ISNUMBER(G386),ISNUMBER(H386)),IF(H386&gt;0,G386/H386,""),"")</f>
        <v/>
      </c>
      <c r="L386" s="24" t="str">
        <f>IF(AND(ISNUMBER(J386),ISNUMBER(K386)),IF(J386&gt;0,K386/J386,""),"")</f>
        <v/>
      </c>
    </row>
    <row r="387" spans="1:12" x14ac:dyDescent="0.25">
      <c r="A387" s="18"/>
      <c r="B387" s="21"/>
      <c r="C387" s="19"/>
      <c r="D387" s="23" t="str">
        <f>IF(B387="","",IFERROR(VLOOKUP(B387,Frentes!$A$5:$B$64,2,0),""))</f>
        <v/>
      </c>
      <c r="E387" s="17"/>
      <c r="F387" s="17"/>
      <c r="G387" s="17"/>
      <c r="H387" s="17"/>
      <c r="I387" s="19"/>
      <c r="J387" s="23" t="str">
        <f>IF(AND(ISNUMBER(E387),ISNUMBER(F387)),IF(F387&gt;0,E387/F387,""),"")</f>
        <v/>
      </c>
      <c r="K387" s="23" t="str">
        <f>IF(AND(ISNUMBER(G387),ISNUMBER(H387)),IF(H387&gt;0,G387/H387,""),"")</f>
        <v/>
      </c>
      <c r="L387" s="24" t="str">
        <f>IF(AND(ISNUMBER(J387),ISNUMBER(K387)),IF(J387&gt;0,K387/J387,""),"")</f>
        <v/>
      </c>
    </row>
    <row r="388" spans="1:12" x14ac:dyDescent="0.25">
      <c r="A388" s="18"/>
      <c r="B388" s="21"/>
      <c r="C388" s="19"/>
      <c r="D388" s="23" t="str">
        <f>IF(B388="","",IFERROR(VLOOKUP(B388,Frentes!$A$5:$B$64,2,0),""))</f>
        <v/>
      </c>
      <c r="E388" s="17"/>
      <c r="F388" s="17"/>
      <c r="G388" s="17"/>
      <c r="H388" s="17"/>
      <c r="I388" s="19"/>
      <c r="J388" s="23" t="str">
        <f>IF(AND(ISNUMBER(E388),ISNUMBER(F388)),IF(F388&gt;0,E388/F388,""),"")</f>
        <v/>
      </c>
      <c r="K388" s="23" t="str">
        <f>IF(AND(ISNUMBER(G388),ISNUMBER(H388)),IF(H388&gt;0,G388/H388,""),"")</f>
        <v/>
      </c>
      <c r="L388" s="24" t="str">
        <f>IF(AND(ISNUMBER(J388),ISNUMBER(K388)),IF(J388&gt;0,K388/J388,""),"")</f>
        <v/>
      </c>
    </row>
    <row r="389" spans="1:12" x14ac:dyDescent="0.25">
      <c r="A389" s="18"/>
      <c r="B389" s="21"/>
      <c r="C389" s="19"/>
      <c r="D389" s="23" t="str">
        <f>IF(B389="","",IFERROR(VLOOKUP(B389,Frentes!$A$5:$B$64,2,0),""))</f>
        <v/>
      </c>
      <c r="E389" s="17"/>
      <c r="F389" s="17"/>
      <c r="G389" s="17"/>
      <c r="H389" s="17"/>
      <c r="I389" s="19"/>
      <c r="J389" s="23" t="str">
        <f>IF(AND(ISNUMBER(E389),ISNUMBER(F389)),IF(F389&gt;0,E389/F389,""),"")</f>
        <v/>
      </c>
      <c r="K389" s="23" t="str">
        <f>IF(AND(ISNUMBER(G389),ISNUMBER(H389)),IF(H389&gt;0,G389/H389,""),"")</f>
        <v/>
      </c>
      <c r="L389" s="24" t="str">
        <f>IF(AND(ISNUMBER(J389),ISNUMBER(K389)),IF(J389&gt;0,K389/J389,""),"")</f>
        <v/>
      </c>
    </row>
    <row r="390" spans="1:12" x14ac:dyDescent="0.25">
      <c r="A390" s="18"/>
      <c r="B390" s="21"/>
      <c r="C390" s="19"/>
      <c r="D390" s="23" t="str">
        <f>IF(B390="","",IFERROR(VLOOKUP(B390,Frentes!$A$5:$B$64,2,0),""))</f>
        <v/>
      </c>
      <c r="E390" s="17"/>
      <c r="F390" s="17"/>
      <c r="G390" s="17"/>
      <c r="H390" s="17"/>
      <c r="I390" s="19"/>
      <c r="J390" s="23" t="str">
        <f>IF(AND(ISNUMBER(E390),ISNUMBER(F390)),IF(F390&gt;0,E390/F390,""),"")</f>
        <v/>
      </c>
      <c r="K390" s="23" t="str">
        <f>IF(AND(ISNUMBER(G390),ISNUMBER(H390)),IF(H390&gt;0,G390/H390,""),"")</f>
        <v/>
      </c>
      <c r="L390" s="24" t="str">
        <f>IF(AND(ISNUMBER(J390),ISNUMBER(K390)),IF(J390&gt;0,K390/J390,""),"")</f>
        <v/>
      </c>
    </row>
    <row r="391" spans="1:12" x14ac:dyDescent="0.25">
      <c r="A391" s="18"/>
      <c r="B391" s="21"/>
      <c r="C391" s="19"/>
      <c r="D391" s="23" t="str">
        <f>IF(B391="","",IFERROR(VLOOKUP(B391,Frentes!$A$5:$B$64,2,0),""))</f>
        <v/>
      </c>
      <c r="E391" s="17"/>
      <c r="F391" s="17"/>
      <c r="G391" s="17"/>
      <c r="H391" s="17"/>
      <c r="I391" s="19"/>
      <c r="J391" s="23" t="str">
        <f>IF(AND(ISNUMBER(E391),ISNUMBER(F391)),IF(F391&gt;0,E391/F391,""),"")</f>
        <v/>
      </c>
      <c r="K391" s="23" t="str">
        <f>IF(AND(ISNUMBER(G391),ISNUMBER(H391)),IF(H391&gt;0,G391/H391,""),"")</f>
        <v/>
      </c>
      <c r="L391" s="24" t="str">
        <f>IF(AND(ISNUMBER(J391),ISNUMBER(K391)),IF(J391&gt;0,K391/J391,""),"")</f>
        <v/>
      </c>
    </row>
    <row r="392" spans="1:12" x14ac:dyDescent="0.25">
      <c r="A392" s="18"/>
      <c r="B392" s="21"/>
      <c r="C392" s="19"/>
      <c r="D392" s="23" t="str">
        <f>IF(B392="","",IFERROR(VLOOKUP(B392,Frentes!$A$5:$B$64,2,0),""))</f>
        <v/>
      </c>
      <c r="E392" s="17"/>
      <c r="F392" s="17"/>
      <c r="G392" s="17"/>
      <c r="H392" s="17"/>
      <c r="I392" s="19"/>
      <c r="J392" s="23" t="str">
        <f>IF(AND(ISNUMBER(E392),ISNUMBER(F392)),IF(F392&gt;0,E392/F392,""),"")</f>
        <v/>
      </c>
      <c r="K392" s="23" t="str">
        <f>IF(AND(ISNUMBER(G392),ISNUMBER(H392)),IF(H392&gt;0,G392/H392,""),"")</f>
        <v/>
      </c>
      <c r="L392" s="24" t="str">
        <f>IF(AND(ISNUMBER(J392),ISNUMBER(K392)),IF(J392&gt;0,K392/J392,""),"")</f>
        <v/>
      </c>
    </row>
    <row r="393" spans="1:12" x14ac:dyDescent="0.25">
      <c r="A393" s="18"/>
      <c r="B393" s="21"/>
      <c r="C393" s="19"/>
      <c r="D393" s="23" t="str">
        <f>IF(B393="","",IFERROR(VLOOKUP(B393,Frentes!$A$5:$B$64,2,0),""))</f>
        <v/>
      </c>
      <c r="E393" s="17"/>
      <c r="F393" s="17"/>
      <c r="G393" s="17"/>
      <c r="H393" s="17"/>
      <c r="I393" s="19"/>
      <c r="J393" s="23" t="str">
        <f>IF(AND(ISNUMBER(E393),ISNUMBER(F393)),IF(F393&gt;0,E393/F393,""),"")</f>
        <v/>
      </c>
      <c r="K393" s="23" t="str">
        <f>IF(AND(ISNUMBER(G393),ISNUMBER(H393)),IF(H393&gt;0,G393/H393,""),"")</f>
        <v/>
      </c>
      <c r="L393" s="24" t="str">
        <f>IF(AND(ISNUMBER(J393),ISNUMBER(K393)),IF(J393&gt;0,K393/J393,""),"")</f>
        <v/>
      </c>
    </row>
    <row r="394" spans="1:12" x14ac:dyDescent="0.25">
      <c r="A394" s="18"/>
      <c r="B394" s="21"/>
      <c r="C394" s="19"/>
      <c r="D394" s="23" t="str">
        <f>IF(B394="","",IFERROR(VLOOKUP(B394,Frentes!$A$5:$B$64,2,0),""))</f>
        <v/>
      </c>
      <c r="E394" s="17"/>
      <c r="F394" s="17"/>
      <c r="G394" s="17"/>
      <c r="H394" s="17"/>
      <c r="I394" s="19"/>
      <c r="J394" s="23" t="str">
        <f>IF(AND(ISNUMBER(E394),ISNUMBER(F394)),IF(F394&gt;0,E394/F394,""),"")</f>
        <v/>
      </c>
      <c r="K394" s="23" t="str">
        <f>IF(AND(ISNUMBER(G394),ISNUMBER(H394)),IF(H394&gt;0,G394/H394,""),"")</f>
        <v/>
      </c>
      <c r="L394" s="24" t="str">
        <f>IF(AND(ISNUMBER(J394),ISNUMBER(K394)),IF(J394&gt;0,K394/J394,""),"")</f>
        <v/>
      </c>
    </row>
    <row r="395" spans="1:12" x14ac:dyDescent="0.25">
      <c r="A395" s="18"/>
      <c r="B395" s="21"/>
      <c r="C395" s="19"/>
      <c r="D395" s="23" t="str">
        <f>IF(B395="","",IFERROR(VLOOKUP(B395,Frentes!$A$5:$B$64,2,0),""))</f>
        <v/>
      </c>
      <c r="E395" s="17"/>
      <c r="F395" s="17"/>
      <c r="G395" s="17"/>
      <c r="H395" s="17"/>
      <c r="I395" s="19"/>
      <c r="J395" s="23" t="str">
        <f>IF(AND(ISNUMBER(E395),ISNUMBER(F395)),IF(F395&gt;0,E395/F395,""),"")</f>
        <v/>
      </c>
      <c r="K395" s="23" t="str">
        <f>IF(AND(ISNUMBER(G395),ISNUMBER(H395)),IF(H395&gt;0,G395/H395,""),"")</f>
        <v/>
      </c>
      <c r="L395" s="24" t="str">
        <f>IF(AND(ISNUMBER(J395),ISNUMBER(K395)),IF(J395&gt;0,K395/J395,""),"")</f>
        <v/>
      </c>
    </row>
    <row r="396" spans="1:12" x14ac:dyDescent="0.25">
      <c r="A396" s="18"/>
      <c r="B396" s="21"/>
      <c r="C396" s="19"/>
      <c r="D396" s="23" t="str">
        <f>IF(B396="","",IFERROR(VLOOKUP(B396,Frentes!$A$5:$B$64,2,0),""))</f>
        <v/>
      </c>
      <c r="E396" s="17"/>
      <c r="F396" s="17"/>
      <c r="G396" s="17"/>
      <c r="H396" s="17"/>
      <c r="I396" s="19"/>
      <c r="J396" s="23" t="str">
        <f>IF(AND(ISNUMBER(E396),ISNUMBER(F396)),IF(F396&gt;0,E396/F396,""),"")</f>
        <v/>
      </c>
      <c r="K396" s="23" t="str">
        <f>IF(AND(ISNUMBER(G396),ISNUMBER(H396)),IF(H396&gt;0,G396/H396,""),"")</f>
        <v/>
      </c>
      <c r="L396" s="24" t="str">
        <f>IF(AND(ISNUMBER(J396),ISNUMBER(K396)),IF(J396&gt;0,K396/J396,""),"")</f>
        <v/>
      </c>
    </row>
    <row r="397" spans="1:12" x14ac:dyDescent="0.25">
      <c r="A397" s="18"/>
      <c r="B397" s="21"/>
      <c r="C397" s="19"/>
      <c r="D397" s="23" t="str">
        <f>IF(B397="","",IFERROR(VLOOKUP(B397,Frentes!$A$5:$B$64,2,0),""))</f>
        <v/>
      </c>
      <c r="E397" s="17"/>
      <c r="F397" s="17"/>
      <c r="G397" s="17"/>
      <c r="H397" s="17"/>
      <c r="I397" s="19"/>
      <c r="J397" s="23" t="str">
        <f>IF(AND(ISNUMBER(E397),ISNUMBER(F397)),IF(F397&gt;0,E397/F397,""),"")</f>
        <v/>
      </c>
      <c r="K397" s="23" t="str">
        <f>IF(AND(ISNUMBER(G397),ISNUMBER(H397)),IF(H397&gt;0,G397/H397,""),"")</f>
        <v/>
      </c>
      <c r="L397" s="24" t="str">
        <f>IF(AND(ISNUMBER(J397),ISNUMBER(K397)),IF(J397&gt;0,K397/J397,""),"")</f>
        <v/>
      </c>
    </row>
    <row r="398" spans="1:12" x14ac:dyDescent="0.25">
      <c r="A398" s="18"/>
      <c r="B398" s="21"/>
      <c r="C398" s="19"/>
      <c r="D398" s="23" t="str">
        <f>IF(B398="","",IFERROR(VLOOKUP(B398,Frentes!$A$5:$B$64,2,0),""))</f>
        <v/>
      </c>
      <c r="E398" s="17"/>
      <c r="F398" s="17"/>
      <c r="G398" s="17"/>
      <c r="H398" s="17"/>
      <c r="I398" s="19"/>
      <c r="J398" s="23" t="str">
        <f>IF(AND(ISNUMBER(E398),ISNUMBER(F398)),IF(F398&gt;0,E398/F398,""),"")</f>
        <v/>
      </c>
      <c r="K398" s="23" t="str">
        <f>IF(AND(ISNUMBER(G398),ISNUMBER(H398)),IF(H398&gt;0,G398/H398,""),"")</f>
        <v/>
      </c>
      <c r="L398" s="24" t="str">
        <f>IF(AND(ISNUMBER(J398),ISNUMBER(K398)),IF(J398&gt;0,K398/J398,""),"")</f>
        <v/>
      </c>
    </row>
    <row r="399" spans="1:12" x14ac:dyDescent="0.25">
      <c r="A399" s="18"/>
      <c r="B399" s="21"/>
      <c r="C399" s="19"/>
      <c r="D399" s="23" t="str">
        <f>IF(B399="","",IFERROR(VLOOKUP(B399,Frentes!$A$5:$B$64,2,0),""))</f>
        <v/>
      </c>
      <c r="E399" s="17"/>
      <c r="F399" s="17"/>
      <c r="G399" s="17"/>
      <c r="H399" s="17"/>
      <c r="I399" s="19"/>
      <c r="J399" s="23" t="str">
        <f>IF(AND(ISNUMBER(E399),ISNUMBER(F399)),IF(F399&gt;0,E399/F399,""),"")</f>
        <v/>
      </c>
      <c r="K399" s="23" t="str">
        <f>IF(AND(ISNUMBER(G399),ISNUMBER(H399)),IF(H399&gt;0,G399/H399,""),"")</f>
        <v/>
      </c>
      <c r="L399" s="24" t="str">
        <f>IF(AND(ISNUMBER(J399),ISNUMBER(K399)),IF(J399&gt;0,K399/J399,""),"")</f>
        <v/>
      </c>
    </row>
    <row r="400" spans="1:12" x14ac:dyDescent="0.25">
      <c r="A400" s="18"/>
      <c r="B400" s="21"/>
      <c r="C400" s="19"/>
      <c r="D400" s="23" t="str">
        <f>IF(B400="","",IFERROR(VLOOKUP(B400,Frentes!$A$5:$B$64,2,0),""))</f>
        <v/>
      </c>
      <c r="E400" s="17"/>
      <c r="F400" s="17"/>
      <c r="G400" s="17"/>
      <c r="H400" s="17"/>
      <c r="I400" s="19"/>
      <c r="J400" s="23" t="str">
        <f>IF(AND(ISNUMBER(E400),ISNUMBER(F400)),IF(F400&gt;0,E400/F400,""),"")</f>
        <v/>
      </c>
      <c r="K400" s="23" t="str">
        <f>IF(AND(ISNUMBER(G400),ISNUMBER(H400)),IF(H400&gt;0,G400/H400,""),"")</f>
        <v/>
      </c>
      <c r="L400" s="24" t="str">
        <f>IF(AND(ISNUMBER(J400),ISNUMBER(K400)),IF(J400&gt;0,K400/J400,""),"")</f>
        <v/>
      </c>
    </row>
    <row r="401" spans="1:12" x14ac:dyDescent="0.25">
      <c r="A401" s="18"/>
      <c r="B401" s="21"/>
      <c r="C401" s="19"/>
      <c r="D401" s="23" t="str">
        <f>IF(B401="","",IFERROR(VLOOKUP(B401,Frentes!$A$5:$B$64,2,0),""))</f>
        <v/>
      </c>
      <c r="E401" s="17"/>
      <c r="F401" s="17"/>
      <c r="G401" s="17"/>
      <c r="H401" s="17"/>
      <c r="I401" s="19"/>
      <c r="J401" s="23" t="str">
        <f>IF(AND(ISNUMBER(E401),ISNUMBER(F401)),IF(F401&gt;0,E401/F401,""),"")</f>
        <v/>
      </c>
      <c r="K401" s="23" t="str">
        <f>IF(AND(ISNUMBER(G401),ISNUMBER(H401)),IF(H401&gt;0,G401/H401,""),"")</f>
        <v/>
      </c>
      <c r="L401" s="24" t="str">
        <f>IF(AND(ISNUMBER(J401),ISNUMBER(K401)),IF(J401&gt;0,K401/J401,""),"")</f>
        <v/>
      </c>
    </row>
    <row r="402" spans="1:12" x14ac:dyDescent="0.25">
      <c r="A402" s="18"/>
      <c r="B402" s="21"/>
      <c r="C402" s="19"/>
      <c r="D402" s="23" t="str">
        <f>IF(B402="","",IFERROR(VLOOKUP(B402,Frentes!$A$5:$B$64,2,0),""))</f>
        <v/>
      </c>
      <c r="E402" s="17"/>
      <c r="F402" s="17"/>
      <c r="G402" s="17"/>
      <c r="H402" s="17"/>
      <c r="I402" s="19"/>
      <c r="J402" s="23" t="str">
        <f>IF(AND(ISNUMBER(E402),ISNUMBER(F402)),IF(F402&gt;0,E402/F402,""),"")</f>
        <v/>
      </c>
      <c r="K402" s="23" t="str">
        <f>IF(AND(ISNUMBER(G402),ISNUMBER(H402)),IF(H402&gt;0,G402/H402,""),"")</f>
        <v/>
      </c>
      <c r="L402" s="24" t="str">
        <f>IF(AND(ISNUMBER(J402),ISNUMBER(K402)),IF(J402&gt;0,K402/J402,""),"")</f>
        <v/>
      </c>
    </row>
    <row r="403" spans="1:12" x14ac:dyDescent="0.25">
      <c r="A403" s="18"/>
      <c r="B403" s="21"/>
      <c r="C403" s="19"/>
      <c r="D403" s="23" t="str">
        <f>IF(B403="","",IFERROR(VLOOKUP(B403,Frentes!$A$5:$B$64,2,0),""))</f>
        <v/>
      </c>
      <c r="E403" s="17"/>
      <c r="F403" s="17"/>
      <c r="G403" s="17"/>
      <c r="H403" s="17"/>
      <c r="I403" s="19"/>
      <c r="J403" s="23" t="str">
        <f>IF(AND(ISNUMBER(E403),ISNUMBER(F403)),IF(F403&gt;0,E403/F403,""),"")</f>
        <v/>
      </c>
      <c r="K403" s="23" t="str">
        <f>IF(AND(ISNUMBER(G403),ISNUMBER(H403)),IF(H403&gt;0,G403/H403,""),"")</f>
        <v/>
      </c>
      <c r="L403" s="24" t="str">
        <f>IF(AND(ISNUMBER(J403),ISNUMBER(K403)),IF(J403&gt;0,K403/J403,""),"")</f>
        <v/>
      </c>
    </row>
    <row r="404" spans="1:12" x14ac:dyDescent="0.25">
      <c r="A404" s="18"/>
      <c r="B404" s="21"/>
      <c r="C404" s="19"/>
      <c r="D404" s="23" t="str">
        <f>IF(B404="","",IFERROR(VLOOKUP(B404,Frentes!$A$5:$B$64,2,0),""))</f>
        <v/>
      </c>
      <c r="E404" s="17"/>
      <c r="F404" s="17"/>
      <c r="G404" s="17"/>
      <c r="H404" s="17"/>
      <c r="I404" s="19"/>
      <c r="J404" s="23" t="str">
        <f>IF(AND(ISNUMBER(E404),ISNUMBER(F404)),IF(F404&gt;0,E404/F404,""),"")</f>
        <v/>
      </c>
      <c r="K404" s="23" t="str">
        <f>IF(AND(ISNUMBER(G404),ISNUMBER(H404)),IF(H404&gt;0,G404/H404,""),"")</f>
        <v/>
      </c>
      <c r="L404" s="24" t="str">
        <f>IF(AND(ISNUMBER(J404),ISNUMBER(K404)),IF(J404&gt;0,K404/J404,""),"")</f>
        <v/>
      </c>
    </row>
  </sheetData>
  <autoFilter ref="A4:L4"/>
  <mergeCells count="2">
    <mergeCell ref="A1:L1"/>
    <mergeCell ref="A2:L2"/>
  </mergeCells>
  <conditionalFormatting sqref="L5:L404">
    <cfRule type="expression" dxfId="7" priority="1">
      <formula>AND(ISNUMBER($L5),$L5&gt;=0.95)</formula>
    </cfRule>
    <cfRule type="expression" dxfId="8" priority="2">
      <formula>AND(ISNUMBER($L5),$L5&gt;=0.85)</formula>
    </cfRule>
    <cfRule type="expression" dxfId="9" priority="3">
      <formula>ISNUMBER($L5)</formula>
    </cfRule>
  </conditionalFormatting>
  <dataValidations count="2">
    <dataValidation type="date" operator="greaterThan" allowBlank="1" showErrorMessage="1" errorTitle="Semana" error="Digite a data da segunda-feira da semana." sqref="A5:A404">
      <formula1>25569.00042275463</formula1>
    </dataValidation>
    <dataValidation type="list" allowBlank="1" showErrorMessage="1" errorTitle="Frente" error="Escolha uma frente da aba Frentes." sqref="B5:B404">
      <formula1>Frentes!$A$5:$A$64</formula1>
    </dataValidation>
  </dataValidation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EB5"/>
    <pageSetUpPr fitToPage="1"/>
  </sheetPr>
  <dimension ref="A1:G204"/>
  <sheetViews>
    <sheetView workbookViewId="0" showGridLines="0" zoomScale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6" customWidth="1"/>
    <col min="2" max="2" width="34" customWidth="1"/>
    <col min="3" max="3" width="16" customWidth="1"/>
    <col min="4" max="4" width="13" customWidth="1"/>
    <col min="5" max="5" width="15" customWidth="1"/>
    <col min="6" max="6" width="50" customWidth="1"/>
    <col min="7" max="7" width="14" customWidth="1"/>
  </cols>
  <sheetData>
    <row r="1" ht="26" customHeight="1" spans="1:7" x14ac:dyDescent="0.25">
      <c r="A1" s="13" t="s">
        <v>18</v>
      </c>
      <c r="B1" s="13"/>
      <c r="C1" s="13"/>
      <c r="D1" s="13"/>
      <c r="E1" s="13"/>
      <c r="F1" s="13"/>
      <c r="G1" s="13"/>
    </row>
    <row r="2" ht="32" customHeight="1" spans="1:7" x14ac:dyDescent="0.25">
      <c r="A2" s="2" t="s">
        <v>214</v>
      </c>
      <c r="B2" s="2"/>
      <c r="C2" s="2"/>
      <c r="D2" s="2"/>
      <c r="E2" s="2"/>
      <c r="F2" s="2"/>
      <c r="G2" s="2"/>
    </row>
    <row r="3" ht="6" customHeight="1" x14ac:dyDescent="0.25"/>
    <row r="4" ht="34" customHeight="1" spans="1:7" x14ac:dyDescent="0.25">
      <c r="A4" s="15" t="s">
        <v>215</v>
      </c>
      <c r="B4" s="15" t="s">
        <v>45</v>
      </c>
      <c r="C4" s="15" t="s">
        <v>88</v>
      </c>
      <c r="D4" s="15" t="s">
        <v>216</v>
      </c>
      <c r="E4" s="15" t="s">
        <v>217</v>
      </c>
      <c r="F4" s="15" t="s">
        <v>93</v>
      </c>
      <c r="G4" s="14" t="s">
        <v>94</v>
      </c>
    </row>
    <row r="5" spans="1:7" x14ac:dyDescent="0.25">
      <c r="A5" s="22" t="s">
        <v>218</v>
      </c>
      <c r="B5" s="21" t="s">
        <v>55</v>
      </c>
      <c r="C5" s="21" t="s">
        <v>110</v>
      </c>
      <c r="D5" s="18">
        <v>46316</v>
      </c>
      <c r="E5" s="17" t="s">
        <v>219</v>
      </c>
      <c r="F5" s="19" t="s">
        <v>220</v>
      </c>
      <c r="G5" s="23" t="str">
        <f>IF(A5="","",IF(E5="Concluída","Concluída",IF(D5&lt;DataRef,"Atrasada","No prazo")))</f>
        <v>No prazo</v>
      </c>
    </row>
    <row r="6" spans="1:7" x14ac:dyDescent="0.25">
      <c r="A6" s="22" t="s">
        <v>221</v>
      </c>
      <c r="B6" s="21" t="s">
        <v>64</v>
      </c>
      <c r="C6" s="21" t="s">
        <v>97</v>
      </c>
      <c r="D6" s="18">
        <v>46309</v>
      </c>
      <c r="E6" s="17" t="s">
        <v>219</v>
      </c>
      <c r="F6" s="19" t="s">
        <v>222</v>
      </c>
      <c r="G6" s="23" t="str">
        <f>IF(A6="","",IF(E6="Concluída","Concluída",IF(D6&lt;DataRef,"Atrasada","No prazo")))</f>
        <v>No prazo</v>
      </c>
    </row>
    <row r="7" spans="1:7" x14ac:dyDescent="0.25">
      <c r="A7" s="22" t="s">
        <v>223</v>
      </c>
      <c r="B7" s="21" t="s">
        <v>74</v>
      </c>
      <c r="C7" s="21" t="s">
        <v>114</v>
      </c>
      <c r="D7" s="18">
        <v>46311</v>
      </c>
      <c r="E7" s="17" t="s">
        <v>219</v>
      </c>
      <c r="F7" s="19"/>
      <c r="G7" s="23" t="str">
        <f>IF(A7="","",IF(E7="Concluída","Concluída",IF(D7&lt;DataRef,"Atrasada","No prazo")))</f>
        <v>No prazo</v>
      </c>
    </row>
    <row r="8" spans="1:7" x14ac:dyDescent="0.25">
      <c r="A8" s="22" t="s">
        <v>224</v>
      </c>
      <c r="B8" s="21" t="s">
        <v>79</v>
      </c>
      <c r="C8" s="21" t="s">
        <v>127</v>
      </c>
      <c r="D8" s="18">
        <v>46304</v>
      </c>
      <c r="E8" s="17" t="s">
        <v>219</v>
      </c>
      <c r="F8" s="19" t="s">
        <v>225</v>
      </c>
      <c r="G8" s="23" t="str">
        <f>IF(A8="","",IF(E8="Concluída","Concluída",IF(D8&lt;DataRef,"Atrasada","No prazo")))</f>
        <v>No prazo</v>
      </c>
    </row>
    <row r="9" spans="1:7" x14ac:dyDescent="0.25">
      <c r="A9" s="22" t="s">
        <v>226</v>
      </c>
      <c r="B9" s="21" t="s">
        <v>55</v>
      </c>
      <c r="C9" s="21" t="s">
        <v>106</v>
      </c>
      <c r="D9" s="18">
        <v>46295</v>
      </c>
      <c r="E9" s="17" t="s">
        <v>227</v>
      </c>
      <c r="F9" s="19" t="s">
        <v>228</v>
      </c>
      <c r="G9" s="23" t="str">
        <f>IF(A9="","",IF(E9="Concluída","Concluída",IF(D9&lt;DataRef,"Atrasada","No prazo")))</f>
        <v>Concluída</v>
      </c>
    </row>
    <row r="10" spans="1:7" x14ac:dyDescent="0.25">
      <c r="A10" s="22" t="s">
        <v>229</v>
      </c>
      <c r="B10" s="21" t="s">
        <v>68</v>
      </c>
      <c r="C10" s="21" t="s">
        <v>102</v>
      </c>
      <c r="D10" s="18">
        <v>46302</v>
      </c>
      <c r="E10" s="17" t="s">
        <v>219</v>
      </c>
      <c r="F10" s="19" t="s">
        <v>230</v>
      </c>
      <c r="G10" s="23" t="str">
        <f>IF(A10="","",IF(E10="Concluída","Concluída",IF(D10&lt;DataRef,"Atrasada","No prazo")))</f>
        <v>Atrasada</v>
      </c>
    </row>
    <row r="11" spans="1:7" x14ac:dyDescent="0.25">
      <c r="A11" s="22" t="s">
        <v>231</v>
      </c>
      <c r="B11" s="21" t="s">
        <v>71</v>
      </c>
      <c r="C11" s="21" t="s">
        <v>97</v>
      </c>
      <c r="D11" s="18">
        <v>46307</v>
      </c>
      <c r="E11" s="17" t="s">
        <v>219</v>
      </c>
      <c r="F11" s="19"/>
      <c r="G11" s="23" t="str">
        <f>IF(A11="","",IF(E11="Concluída","Concluída",IF(D11&lt;DataRef,"Atrasada","No prazo")))</f>
        <v>No prazo</v>
      </c>
    </row>
    <row r="12" spans="1:7" x14ac:dyDescent="0.25">
      <c r="A12" s="22" t="s">
        <v>232</v>
      </c>
      <c r="B12" s="21" t="s">
        <v>61</v>
      </c>
      <c r="C12" s="21" t="s">
        <v>110</v>
      </c>
      <c r="D12" s="18">
        <v>46308</v>
      </c>
      <c r="E12" s="17" t="s">
        <v>219</v>
      </c>
      <c r="F12" s="19"/>
      <c r="G12" s="23" t="str">
        <f>IF(A12="","",IF(E12="Concluída","Concluída",IF(D12&lt;DataRef,"Atrasada","No prazo")))</f>
        <v>No prazo</v>
      </c>
    </row>
    <row r="13" spans="1:7" x14ac:dyDescent="0.25">
      <c r="A13" s="22" t="s">
        <v>233</v>
      </c>
      <c r="B13" s="21" t="s">
        <v>64</v>
      </c>
      <c r="C13" s="21" t="s">
        <v>27</v>
      </c>
      <c r="D13" s="18">
        <v>46300</v>
      </c>
      <c r="E13" s="17" t="s">
        <v>227</v>
      </c>
      <c r="F13" s="19" t="s">
        <v>234</v>
      </c>
      <c r="G13" s="23" t="str">
        <f>IF(A13="","",IF(E13="Concluída","Concluída",IF(D13&lt;DataRef,"Atrasada","No prazo")))</f>
        <v>Concluída</v>
      </c>
    </row>
    <row r="14" spans="1:7" x14ac:dyDescent="0.25">
      <c r="A14" s="22" t="s">
        <v>235</v>
      </c>
      <c r="B14" s="21" t="s">
        <v>71</v>
      </c>
      <c r="C14" s="21" t="s">
        <v>102</v>
      </c>
      <c r="D14" s="18">
        <v>46310</v>
      </c>
      <c r="E14" s="17" t="s">
        <v>219</v>
      </c>
      <c r="F14" s="19" t="s">
        <v>236</v>
      </c>
      <c r="G14" s="23" t="str">
        <f>IF(A14="","",IF(E14="Concluída","Concluída",IF(D14&lt;DataRef,"Atrasada","No prazo")))</f>
        <v>No prazo</v>
      </c>
    </row>
    <row r="15" spans="1:7" x14ac:dyDescent="0.25">
      <c r="A15" s="19"/>
      <c r="B15" s="21"/>
      <c r="C15" s="21"/>
      <c r="D15" s="18"/>
      <c r="E15" s="17"/>
      <c r="F15" s="19"/>
      <c r="G15" s="23" t="str">
        <f>IF(A15="","",IF(E15="Concluída","Concluída",IF(D15&lt;DataRef,"Atrasada","No prazo")))</f>
        <v/>
      </c>
    </row>
    <row r="16" spans="1:7" x14ac:dyDescent="0.25">
      <c r="A16" s="19"/>
      <c r="B16" s="21"/>
      <c r="C16" s="21"/>
      <c r="D16" s="18"/>
      <c r="E16" s="17"/>
      <c r="F16" s="19"/>
      <c r="G16" s="23" t="str">
        <f>IF(A16="","",IF(E16="Concluída","Concluída",IF(D16&lt;DataRef,"Atrasada","No prazo")))</f>
        <v/>
      </c>
    </row>
    <row r="17" spans="1:7" x14ac:dyDescent="0.25">
      <c r="A17" s="19"/>
      <c r="B17" s="21"/>
      <c r="C17" s="21"/>
      <c r="D17" s="18"/>
      <c r="E17" s="17"/>
      <c r="F17" s="19"/>
      <c r="G17" s="23" t="str">
        <f>IF(A17="","",IF(E17="Concluída","Concluída",IF(D17&lt;DataRef,"Atrasada","No prazo")))</f>
        <v/>
      </c>
    </row>
    <row r="18" spans="1:7" x14ac:dyDescent="0.25">
      <c r="A18" s="19"/>
      <c r="B18" s="21"/>
      <c r="C18" s="21"/>
      <c r="D18" s="18"/>
      <c r="E18" s="17"/>
      <c r="F18" s="19"/>
      <c r="G18" s="23" t="str">
        <f>IF(A18="","",IF(E18="Concluída","Concluída",IF(D18&lt;DataRef,"Atrasada","No prazo")))</f>
        <v/>
      </c>
    </row>
    <row r="19" spans="1:7" x14ac:dyDescent="0.25">
      <c r="A19" s="19"/>
      <c r="B19" s="21"/>
      <c r="C19" s="21"/>
      <c r="D19" s="18"/>
      <c r="E19" s="17"/>
      <c r="F19" s="19"/>
      <c r="G19" s="23" t="str">
        <f>IF(A19="","",IF(E19="Concluída","Concluída",IF(D19&lt;DataRef,"Atrasada","No prazo")))</f>
        <v/>
      </c>
    </row>
    <row r="20" spans="1:7" x14ac:dyDescent="0.25">
      <c r="A20" s="19"/>
      <c r="B20" s="21"/>
      <c r="C20" s="21"/>
      <c r="D20" s="18"/>
      <c r="E20" s="17"/>
      <c r="F20" s="19"/>
      <c r="G20" s="23" t="str">
        <f>IF(A20="","",IF(E20="Concluída","Concluída",IF(D20&lt;DataRef,"Atrasada","No prazo")))</f>
        <v/>
      </c>
    </row>
    <row r="21" spans="1:7" x14ac:dyDescent="0.25">
      <c r="A21" s="19"/>
      <c r="B21" s="21"/>
      <c r="C21" s="21"/>
      <c r="D21" s="18"/>
      <c r="E21" s="17"/>
      <c r="F21" s="19"/>
      <c r="G21" s="23" t="str">
        <f>IF(A21="","",IF(E21="Concluída","Concluída",IF(D21&lt;DataRef,"Atrasada","No prazo")))</f>
        <v/>
      </c>
    </row>
    <row r="22" spans="1:7" x14ac:dyDescent="0.25">
      <c r="A22" s="19"/>
      <c r="B22" s="21"/>
      <c r="C22" s="21"/>
      <c r="D22" s="18"/>
      <c r="E22" s="17"/>
      <c r="F22" s="19"/>
      <c r="G22" s="23" t="str">
        <f>IF(A22="","",IF(E22="Concluída","Concluída",IF(D22&lt;DataRef,"Atrasada","No prazo")))</f>
        <v/>
      </c>
    </row>
    <row r="23" spans="1:7" x14ac:dyDescent="0.25">
      <c r="A23" s="19"/>
      <c r="B23" s="21"/>
      <c r="C23" s="21"/>
      <c r="D23" s="18"/>
      <c r="E23" s="17"/>
      <c r="F23" s="19"/>
      <c r="G23" s="23" t="str">
        <f>IF(A23="","",IF(E23="Concluída","Concluída",IF(D23&lt;DataRef,"Atrasada","No prazo")))</f>
        <v/>
      </c>
    </row>
    <row r="24" spans="1:7" x14ac:dyDescent="0.25">
      <c r="A24" s="19"/>
      <c r="B24" s="21"/>
      <c r="C24" s="21"/>
      <c r="D24" s="18"/>
      <c r="E24" s="17"/>
      <c r="F24" s="19"/>
      <c r="G24" s="23" t="str">
        <f>IF(A24="","",IF(E24="Concluída","Concluída",IF(D24&lt;DataRef,"Atrasada","No prazo")))</f>
        <v/>
      </c>
    </row>
    <row r="25" spans="1:7" x14ac:dyDescent="0.25">
      <c r="A25" s="19"/>
      <c r="B25" s="21"/>
      <c r="C25" s="21"/>
      <c r="D25" s="18"/>
      <c r="E25" s="17"/>
      <c r="F25" s="19"/>
      <c r="G25" s="23" t="str">
        <f>IF(A25="","",IF(E25="Concluída","Concluída",IF(D25&lt;DataRef,"Atrasada","No prazo")))</f>
        <v/>
      </c>
    </row>
    <row r="26" spans="1:7" x14ac:dyDescent="0.25">
      <c r="A26" s="19"/>
      <c r="B26" s="21"/>
      <c r="C26" s="21"/>
      <c r="D26" s="18"/>
      <c r="E26" s="17"/>
      <c r="F26" s="19"/>
      <c r="G26" s="23" t="str">
        <f>IF(A26="","",IF(E26="Concluída","Concluída",IF(D26&lt;DataRef,"Atrasada","No prazo")))</f>
        <v/>
      </c>
    </row>
    <row r="27" spans="1:7" x14ac:dyDescent="0.25">
      <c r="A27" s="19"/>
      <c r="B27" s="21"/>
      <c r="C27" s="21"/>
      <c r="D27" s="18"/>
      <c r="E27" s="17"/>
      <c r="F27" s="19"/>
      <c r="G27" s="23" t="str">
        <f>IF(A27="","",IF(E27="Concluída","Concluída",IF(D27&lt;DataRef,"Atrasada","No prazo")))</f>
        <v/>
      </c>
    </row>
    <row r="28" spans="1:7" x14ac:dyDescent="0.25">
      <c r="A28" s="19"/>
      <c r="B28" s="21"/>
      <c r="C28" s="21"/>
      <c r="D28" s="18"/>
      <c r="E28" s="17"/>
      <c r="F28" s="19"/>
      <c r="G28" s="23" t="str">
        <f>IF(A28="","",IF(E28="Concluída","Concluída",IF(D28&lt;DataRef,"Atrasada","No prazo")))</f>
        <v/>
      </c>
    </row>
    <row r="29" spans="1:7" x14ac:dyDescent="0.25">
      <c r="A29" s="19"/>
      <c r="B29" s="21"/>
      <c r="C29" s="21"/>
      <c r="D29" s="18"/>
      <c r="E29" s="17"/>
      <c r="F29" s="19"/>
      <c r="G29" s="23" t="str">
        <f>IF(A29="","",IF(E29="Concluída","Concluída",IF(D29&lt;DataRef,"Atrasada","No prazo")))</f>
        <v/>
      </c>
    </row>
    <row r="30" spans="1:7" x14ac:dyDescent="0.25">
      <c r="A30" s="19"/>
      <c r="B30" s="21"/>
      <c r="C30" s="21"/>
      <c r="D30" s="18"/>
      <c r="E30" s="17"/>
      <c r="F30" s="19"/>
      <c r="G30" s="23" t="str">
        <f>IF(A30="","",IF(E30="Concluída","Concluída",IF(D30&lt;DataRef,"Atrasada","No prazo")))</f>
        <v/>
      </c>
    </row>
    <row r="31" spans="1:7" x14ac:dyDescent="0.25">
      <c r="A31" s="19"/>
      <c r="B31" s="21"/>
      <c r="C31" s="21"/>
      <c r="D31" s="18"/>
      <c r="E31" s="17"/>
      <c r="F31" s="19"/>
      <c r="G31" s="23" t="str">
        <f>IF(A31="","",IF(E31="Concluída","Concluída",IF(D31&lt;DataRef,"Atrasada","No prazo")))</f>
        <v/>
      </c>
    </row>
    <row r="32" spans="1:7" x14ac:dyDescent="0.25">
      <c r="A32" s="19"/>
      <c r="B32" s="21"/>
      <c r="C32" s="21"/>
      <c r="D32" s="18"/>
      <c r="E32" s="17"/>
      <c r="F32" s="19"/>
      <c r="G32" s="23" t="str">
        <f>IF(A32="","",IF(E32="Concluída","Concluída",IF(D32&lt;DataRef,"Atrasada","No prazo")))</f>
        <v/>
      </c>
    </row>
    <row r="33" spans="1:7" x14ac:dyDescent="0.25">
      <c r="A33" s="19"/>
      <c r="B33" s="21"/>
      <c r="C33" s="21"/>
      <c r="D33" s="18"/>
      <c r="E33" s="17"/>
      <c r="F33" s="19"/>
      <c r="G33" s="23" t="str">
        <f>IF(A33="","",IF(E33="Concluída","Concluída",IF(D33&lt;DataRef,"Atrasada","No prazo")))</f>
        <v/>
      </c>
    </row>
    <row r="34" spans="1:7" x14ac:dyDescent="0.25">
      <c r="A34" s="19"/>
      <c r="B34" s="21"/>
      <c r="C34" s="21"/>
      <c r="D34" s="18"/>
      <c r="E34" s="17"/>
      <c r="F34" s="19"/>
      <c r="G34" s="23" t="str">
        <f>IF(A34="","",IF(E34="Concluída","Concluída",IF(D34&lt;DataRef,"Atrasada","No prazo")))</f>
        <v/>
      </c>
    </row>
    <row r="35" spans="1:7" x14ac:dyDescent="0.25">
      <c r="A35" s="19"/>
      <c r="B35" s="21"/>
      <c r="C35" s="21"/>
      <c r="D35" s="18"/>
      <c r="E35" s="17"/>
      <c r="F35" s="19"/>
      <c r="G35" s="23" t="str">
        <f>IF(A35="","",IF(E35="Concluída","Concluída",IF(D35&lt;DataRef,"Atrasada","No prazo")))</f>
        <v/>
      </c>
    </row>
    <row r="36" spans="1:7" x14ac:dyDescent="0.25">
      <c r="A36" s="19"/>
      <c r="B36" s="21"/>
      <c r="C36" s="21"/>
      <c r="D36" s="18"/>
      <c r="E36" s="17"/>
      <c r="F36" s="19"/>
      <c r="G36" s="23" t="str">
        <f>IF(A36="","",IF(E36="Concluída","Concluída",IF(D36&lt;DataRef,"Atrasada","No prazo")))</f>
        <v/>
      </c>
    </row>
    <row r="37" spans="1:7" x14ac:dyDescent="0.25">
      <c r="A37" s="19"/>
      <c r="B37" s="21"/>
      <c r="C37" s="21"/>
      <c r="D37" s="18"/>
      <c r="E37" s="17"/>
      <c r="F37" s="19"/>
      <c r="G37" s="23" t="str">
        <f>IF(A37="","",IF(E37="Concluída","Concluída",IF(D37&lt;DataRef,"Atrasada","No prazo")))</f>
        <v/>
      </c>
    </row>
    <row r="38" spans="1:7" x14ac:dyDescent="0.25">
      <c r="A38" s="19"/>
      <c r="B38" s="21"/>
      <c r="C38" s="21"/>
      <c r="D38" s="18"/>
      <c r="E38" s="17"/>
      <c r="F38" s="19"/>
      <c r="G38" s="23" t="str">
        <f>IF(A38="","",IF(E38="Concluída","Concluída",IF(D38&lt;DataRef,"Atrasada","No prazo")))</f>
        <v/>
      </c>
    </row>
    <row r="39" spans="1:7" x14ac:dyDescent="0.25">
      <c r="A39" s="19"/>
      <c r="B39" s="21"/>
      <c r="C39" s="21"/>
      <c r="D39" s="18"/>
      <c r="E39" s="17"/>
      <c r="F39" s="19"/>
      <c r="G39" s="23" t="str">
        <f>IF(A39="","",IF(E39="Concluída","Concluída",IF(D39&lt;DataRef,"Atrasada","No prazo")))</f>
        <v/>
      </c>
    </row>
    <row r="40" spans="1:7" x14ac:dyDescent="0.25">
      <c r="A40" s="19"/>
      <c r="B40" s="21"/>
      <c r="C40" s="21"/>
      <c r="D40" s="18"/>
      <c r="E40" s="17"/>
      <c r="F40" s="19"/>
      <c r="G40" s="23" t="str">
        <f>IF(A40="","",IF(E40="Concluída","Concluída",IF(D40&lt;DataRef,"Atrasada","No prazo")))</f>
        <v/>
      </c>
    </row>
    <row r="41" spans="1:7" x14ac:dyDescent="0.25">
      <c r="A41" s="19"/>
      <c r="B41" s="21"/>
      <c r="C41" s="21"/>
      <c r="D41" s="18"/>
      <c r="E41" s="17"/>
      <c r="F41" s="19"/>
      <c r="G41" s="23" t="str">
        <f>IF(A41="","",IF(E41="Concluída","Concluída",IF(D41&lt;DataRef,"Atrasada","No prazo")))</f>
        <v/>
      </c>
    </row>
    <row r="42" spans="1:7" x14ac:dyDescent="0.25">
      <c r="A42" s="19"/>
      <c r="B42" s="21"/>
      <c r="C42" s="21"/>
      <c r="D42" s="18"/>
      <c r="E42" s="17"/>
      <c r="F42" s="19"/>
      <c r="G42" s="23" t="str">
        <f>IF(A42="","",IF(E42="Concluída","Concluída",IF(D42&lt;DataRef,"Atrasada","No prazo")))</f>
        <v/>
      </c>
    </row>
    <row r="43" spans="1:7" x14ac:dyDescent="0.25">
      <c r="A43" s="19"/>
      <c r="B43" s="21"/>
      <c r="C43" s="21"/>
      <c r="D43" s="18"/>
      <c r="E43" s="17"/>
      <c r="F43" s="19"/>
      <c r="G43" s="23" t="str">
        <f>IF(A43="","",IF(E43="Concluída","Concluída",IF(D43&lt;DataRef,"Atrasada","No prazo")))</f>
        <v/>
      </c>
    </row>
    <row r="44" spans="1:7" x14ac:dyDescent="0.25">
      <c r="A44" s="19"/>
      <c r="B44" s="21"/>
      <c r="C44" s="21"/>
      <c r="D44" s="18"/>
      <c r="E44" s="17"/>
      <c r="F44" s="19"/>
      <c r="G44" s="23" t="str">
        <f>IF(A44="","",IF(E44="Concluída","Concluída",IF(D44&lt;DataRef,"Atrasada","No prazo")))</f>
        <v/>
      </c>
    </row>
    <row r="45" spans="1:7" x14ac:dyDescent="0.25">
      <c r="A45" s="19"/>
      <c r="B45" s="21"/>
      <c r="C45" s="21"/>
      <c r="D45" s="18"/>
      <c r="E45" s="17"/>
      <c r="F45" s="19"/>
      <c r="G45" s="23" t="str">
        <f>IF(A45="","",IF(E45="Concluída","Concluída",IF(D45&lt;DataRef,"Atrasada","No prazo")))</f>
        <v/>
      </c>
    </row>
    <row r="46" spans="1:7" x14ac:dyDescent="0.25">
      <c r="A46" s="19"/>
      <c r="B46" s="21"/>
      <c r="C46" s="21"/>
      <c r="D46" s="18"/>
      <c r="E46" s="17"/>
      <c r="F46" s="19"/>
      <c r="G46" s="23" t="str">
        <f>IF(A46="","",IF(E46="Concluída","Concluída",IF(D46&lt;DataRef,"Atrasada","No prazo")))</f>
        <v/>
      </c>
    </row>
    <row r="47" spans="1:7" x14ac:dyDescent="0.25">
      <c r="A47" s="19"/>
      <c r="B47" s="21"/>
      <c r="C47" s="21"/>
      <c r="D47" s="18"/>
      <c r="E47" s="17"/>
      <c r="F47" s="19"/>
      <c r="G47" s="23" t="str">
        <f>IF(A47="","",IF(E47="Concluída","Concluída",IF(D47&lt;DataRef,"Atrasada","No prazo")))</f>
        <v/>
      </c>
    </row>
    <row r="48" spans="1:7" x14ac:dyDescent="0.25">
      <c r="A48" s="19"/>
      <c r="B48" s="21"/>
      <c r="C48" s="21"/>
      <c r="D48" s="18"/>
      <c r="E48" s="17"/>
      <c r="F48" s="19"/>
      <c r="G48" s="23" t="str">
        <f>IF(A48="","",IF(E48="Concluída","Concluída",IF(D48&lt;DataRef,"Atrasada","No prazo")))</f>
        <v/>
      </c>
    </row>
    <row r="49" spans="1:7" x14ac:dyDescent="0.25">
      <c r="A49" s="19"/>
      <c r="B49" s="21"/>
      <c r="C49" s="21"/>
      <c r="D49" s="18"/>
      <c r="E49" s="17"/>
      <c r="F49" s="19"/>
      <c r="G49" s="23" t="str">
        <f>IF(A49="","",IF(E49="Concluída","Concluída",IF(D49&lt;DataRef,"Atrasada","No prazo")))</f>
        <v/>
      </c>
    </row>
    <row r="50" spans="1:7" x14ac:dyDescent="0.25">
      <c r="A50" s="19"/>
      <c r="B50" s="21"/>
      <c r="C50" s="21"/>
      <c r="D50" s="18"/>
      <c r="E50" s="17"/>
      <c r="F50" s="19"/>
      <c r="G50" s="23" t="str">
        <f>IF(A50="","",IF(E50="Concluída","Concluída",IF(D50&lt;DataRef,"Atrasada","No prazo")))</f>
        <v/>
      </c>
    </row>
    <row r="51" spans="1:7" x14ac:dyDescent="0.25">
      <c r="A51" s="19"/>
      <c r="B51" s="21"/>
      <c r="C51" s="21"/>
      <c r="D51" s="18"/>
      <c r="E51" s="17"/>
      <c r="F51" s="19"/>
      <c r="G51" s="23" t="str">
        <f>IF(A51="","",IF(E51="Concluída","Concluída",IF(D51&lt;DataRef,"Atrasada","No prazo")))</f>
        <v/>
      </c>
    </row>
    <row r="52" spans="1:7" x14ac:dyDescent="0.25">
      <c r="A52" s="19"/>
      <c r="B52" s="21"/>
      <c r="C52" s="21"/>
      <c r="D52" s="18"/>
      <c r="E52" s="17"/>
      <c r="F52" s="19"/>
      <c r="G52" s="23" t="str">
        <f>IF(A52="","",IF(E52="Concluída","Concluída",IF(D52&lt;DataRef,"Atrasada","No prazo")))</f>
        <v/>
      </c>
    </row>
    <row r="53" spans="1:7" x14ac:dyDescent="0.25">
      <c r="A53" s="19"/>
      <c r="B53" s="21"/>
      <c r="C53" s="21"/>
      <c r="D53" s="18"/>
      <c r="E53" s="17"/>
      <c r="F53" s="19"/>
      <c r="G53" s="23" t="str">
        <f>IF(A53="","",IF(E53="Concluída","Concluída",IF(D53&lt;DataRef,"Atrasada","No prazo")))</f>
        <v/>
      </c>
    </row>
    <row r="54" spans="1:7" x14ac:dyDescent="0.25">
      <c r="A54" s="19"/>
      <c r="B54" s="21"/>
      <c r="C54" s="21"/>
      <c r="D54" s="18"/>
      <c r="E54" s="17"/>
      <c r="F54" s="19"/>
      <c r="G54" s="23" t="str">
        <f>IF(A54="","",IF(E54="Concluída","Concluída",IF(D54&lt;DataRef,"Atrasada","No prazo")))</f>
        <v/>
      </c>
    </row>
    <row r="55" spans="1:7" x14ac:dyDescent="0.25">
      <c r="A55" s="19"/>
      <c r="B55" s="21"/>
      <c r="C55" s="21"/>
      <c r="D55" s="18"/>
      <c r="E55" s="17"/>
      <c r="F55" s="19"/>
      <c r="G55" s="23" t="str">
        <f>IF(A55="","",IF(E55="Concluída","Concluída",IF(D55&lt;DataRef,"Atrasada","No prazo")))</f>
        <v/>
      </c>
    </row>
    <row r="56" spans="1:7" x14ac:dyDescent="0.25">
      <c r="A56" s="19"/>
      <c r="B56" s="21"/>
      <c r="C56" s="21"/>
      <c r="D56" s="18"/>
      <c r="E56" s="17"/>
      <c r="F56" s="19"/>
      <c r="G56" s="23" t="str">
        <f>IF(A56="","",IF(E56="Concluída","Concluída",IF(D56&lt;DataRef,"Atrasada","No prazo")))</f>
        <v/>
      </c>
    </row>
    <row r="57" spans="1:7" x14ac:dyDescent="0.25">
      <c r="A57" s="19"/>
      <c r="B57" s="21"/>
      <c r="C57" s="21"/>
      <c r="D57" s="18"/>
      <c r="E57" s="17"/>
      <c r="F57" s="19"/>
      <c r="G57" s="23" t="str">
        <f>IF(A57="","",IF(E57="Concluída","Concluída",IF(D57&lt;DataRef,"Atrasada","No prazo")))</f>
        <v/>
      </c>
    </row>
    <row r="58" spans="1:7" x14ac:dyDescent="0.25">
      <c r="A58" s="19"/>
      <c r="B58" s="21"/>
      <c r="C58" s="21"/>
      <c r="D58" s="18"/>
      <c r="E58" s="17"/>
      <c r="F58" s="19"/>
      <c r="G58" s="23" t="str">
        <f>IF(A58="","",IF(E58="Concluída","Concluída",IF(D58&lt;DataRef,"Atrasada","No prazo")))</f>
        <v/>
      </c>
    </row>
    <row r="59" spans="1:7" x14ac:dyDescent="0.25">
      <c r="A59" s="19"/>
      <c r="B59" s="21"/>
      <c r="C59" s="21"/>
      <c r="D59" s="18"/>
      <c r="E59" s="17"/>
      <c r="F59" s="19"/>
      <c r="G59" s="23" t="str">
        <f>IF(A59="","",IF(E59="Concluída","Concluída",IF(D59&lt;DataRef,"Atrasada","No prazo")))</f>
        <v/>
      </c>
    </row>
    <row r="60" spans="1:7" x14ac:dyDescent="0.25">
      <c r="A60" s="19"/>
      <c r="B60" s="21"/>
      <c r="C60" s="21"/>
      <c r="D60" s="18"/>
      <c r="E60" s="17"/>
      <c r="F60" s="19"/>
      <c r="G60" s="23" t="str">
        <f>IF(A60="","",IF(E60="Concluída","Concluída",IF(D60&lt;DataRef,"Atrasada","No prazo")))</f>
        <v/>
      </c>
    </row>
    <row r="61" spans="1:7" x14ac:dyDescent="0.25">
      <c r="A61" s="19"/>
      <c r="B61" s="21"/>
      <c r="C61" s="21"/>
      <c r="D61" s="18"/>
      <c r="E61" s="17"/>
      <c r="F61" s="19"/>
      <c r="G61" s="23" t="str">
        <f>IF(A61="","",IF(E61="Concluída","Concluída",IF(D61&lt;DataRef,"Atrasada","No prazo")))</f>
        <v/>
      </c>
    </row>
    <row r="62" spans="1:7" x14ac:dyDescent="0.25">
      <c r="A62" s="19"/>
      <c r="B62" s="21"/>
      <c r="C62" s="21"/>
      <c r="D62" s="18"/>
      <c r="E62" s="17"/>
      <c r="F62" s="19"/>
      <c r="G62" s="23" t="str">
        <f>IF(A62="","",IF(E62="Concluída","Concluída",IF(D62&lt;DataRef,"Atrasada","No prazo")))</f>
        <v/>
      </c>
    </row>
    <row r="63" spans="1:7" x14ac:dyDescent="0.25">
      <c r="A63" s="19"/>
      <c r="B63" s="21"/>
      <c r="C63" s="21"/>
      <c r="D63" s="18"/>
      <c r="E63" s="17"/>
      <c r="F63" s="19"/>
      <c r="G63" s="23" t="str">
        <f>IF(A63="","",IF(E63="Concluída","Concluída",IF(D63&lt;DataRef,"Atrasada","No prazo")))</f>
        <v/>
      </c>
    </row>
    <row r="64" spans="1:7" x14ac:dyDescent="0.25">
      <c r="A64" s="19"/>
      <c r="B64" s="21"/>
      <c r="C64" s="21"/>
      <c r="D64" s="18"/>
      <c r="E64" s="17"/>
      <c r="F64" s="19"/>
      <c r="G64" s="23" t="str">
        <f>IF(A64="","",IF(E64="Concluída","Concluída",IF(D64&lt;DataRef,"Atrasada","No prazo")))</f>
        <v/>
      </c>
    </row>
    <row r="65" spans="1:7" x14ac:dyDescent="0.25">
      <c r="A65" s="19"/>
      <c r="B65" s="21"/>
      <c r="C65" s="21"/>
      <c r="D65" s="18"/>
      <c r="E65" s="17"/>
      <c r="F65" s="19"/>
      <c r="G65" s="23" t="str">
        <f>IF(A65="","",IF(E65="Concluída","Concluída",IF(D65&lt;DataRef,"Atrasada","No prazo")))</f>
        <v/>
      </c>
    </row>
    <row r="66" spans="1:7" x14ac:dyDescent="0.25">
      <c r="A66" s="19"/>
      <c r="B66" s="21"/>
      <c r="C66" s="21"/>
      <c r="D66" s="18"/>
      <c r="E66" s="17"/>
      <c r="F66" s="19"/>
      <c r="G66" s="23" t="str">
        <f>IF(A66="","",IF(E66="Concluída","Concluída",IF(D66&lt;DataRef,"Atrasada","No prazo")))</f>
        <v/>
      </c>
    </row>
    <row r="67" spans="1:7" x14ac:dyDescent="0.25">
      <c r="A67" s="19"/>
      <c r="B67" s="21"/>
      <c r="C67" s="21"/>
      <c r="D67" s="18"/>
      <c r="E67" s="17"/>
      <c r="F67" s="19"/>
      <c r="G67" s="23" t="str">
        <f>IF(A67="","",IF(E67="Concluída","Concluída",IF(D67&lt;DataRef,"Atrasada","No prazo")))</f>
        <v/>
      </c>
    </row>
    <row r="68" spans="1:7" x14ac:dyDescent="0.25">
      <c r="A68" s="19"/>
      <c r="B68" s="21"/>
      <c r="C68" s="21"/>
      <c r="D68" s="18"/>
      <c r="E68" s="17"/>
      <c r="F68" s="19"/>
      <c r="G68" s="23" t="str">
        <f>IF(A68="","",IF(E68="Concluída","Concluída",IF(D68&lt;DataRef,"Atrasada","No prazo")))</f>
        <v/>
      </c>
    </row>
    <row r="69" spans="1:7" x14ac:dyDescent="0.25">
      <c r="A69" s="19"/>
      <c r="B69" s="21"/>
      <c r="C69" s="21"/>
      <c r="D69" s="18"/>
      <c r="E69" s="17"/>
      <c r="F69" s="19"/>
      <c r="G69" s="23" t="str">
        <f>IF(A69="","",IF(E69="Concluída","Concluída",IF(D69&lt;DataRef,"Atrasada","No prazo")))</f>
        <v/>
      </c>
    </row>
    <row r="70" spans="1:7" x14ac:dyDescent="0.25">
      <c r="A70" s="19"/>
      <c r="B70" s="21"/>
      <c r="C70" s="21"/>
      <c r="D70" s="18"/>
      <c r="E70" s="17"/>
      <c r="F70" s="19"/>
      <c r="G70" s="23" t="str">
        <f>IF(A70="","",IF(E70="Concluída","Concluída",IF(D70&lt;DataRef,"Atrasada","No prazo")))</f>
        <v/>
      </c>
    </row>
    <row r="71" spans="1:7" x14ac:dyDescent="0.25">
      <c r="A71" s="19"/>
      <c r="B71" s="21"/>
      <c r="C71" s="21"/>
      <c r="D71" s="18"/>
      <c r="E71" s="17"/>
      <c r="F71" s="19"/>
      <c r="G71" s="23" t="str">
        <f>IF(A71="","",IF(E71="Concluída","Concluída",IF(D71&lt;DataRef,"Atrasada","No prazo")))</f>
        <v/>
      </c>
    </row>
    <row r="72" spans="1:7" x14ac:dyDescent="0.25">
      <c r="A72" s="19"/>
      <c r="B72" s="21"/>
      <c r="C72" s="21"/>
      <c r="D72" s="18"/>
      <c r="E72" s="17"/>
      <c r="F72" s="19"/>
      <c r="G72" s="23" t="str">
        <f>IF(A72="","",IF(E72="Concluída","Concluída",IF(D72&lt;DataRef,"Atrasada","No prazo")))</f>
        <v/>
      </c>
    </row>
    <row r="73" spans="1:7" x14ac:dyDescent="0.25">
      <c r="A73" s="19"/>
      <c r="B73" s="21"/>
      <c r="C73" s="21"/>
      <c r="D73" s="18"/>
      <c r="E73" s="17"/>
      <c r="F73" s="19"/>
      <c r="G73" s="23" t="str">
        <f>IF(A73="","",IF(E73="Concluída","Concluída",IF(D73&lt;DataRef,"Atrasada","No prazo")))</f>
        <v/>
      </c>
    </row>
    <row r="74" spans="1:7" x14ac:dyDescent="0.25">
      <c r="A74" s="19"/>
      <c r="B74" s="21"/>
      <c r="C74" s="21"/>
      <c r="D74" s="18"/>
      <c r="E74" s="17"/>
      <c r="F74" s="19"/>
      <c r="G74" s="23" t="str">
        <f>IF(A74="","",IF(E74="Concluída","Concluída",IF(D74&lt;DataRef,"Atrasada","No prazo")))</f>
        <v/>
      </c>
    </row>
    <row r="75" spans="1:7" x14ac:dyDescent="0.25">
      <c r="A75" s="19"/>
      <c r="B75" s="21"/>
      <c r="C75" s="21"/>
      <c r="D75" s="18"/>
      <c r="E75" s="17"/>
      <c r="F75" s="19"/>
      <c r="G75" s="23" t="str">
        <f>IF(A75="","",IF(E75="Concluída","Concluída",IF(D75&lt;DataRef,"Atrasada","No prazo")))</f>
        <v/>
      </c>
    </row>
    <row r="76" spans="1:7" x14ac:dyDescent="0.25">
      <c r="A76" s="19"/>
      <c r="B76" s="21"/>
      <c r="C76" s="21"/>
      <c r="D76" s="18"/>
      <c r="E76" s="17"/>
      <c r="F76" s="19"/>
      <c r="G76" s="23" t="str">
        <f>IF(A76="","",IF(E76="Concluída","Concluída",IF(D76&lt;DataRef,"Atrasada","No prazo")))</f>
        <v/>
      </c>
    </row>
    <row r="77" spans="1:7" x14ac:dyDescent="0.25">
      <c r="A77" s="19"/>
      <c r="B77" s="21"/>
      <c r="C77" s="21"/>
      <c r="D77" s="18"/>
      <c r="E77" s="17"/>
      <c r="F77" s="19"/>
      <c r="G77" s="23" t="str">
        <f>IF(A77="","",IF(E77="Concluída","Concluída",IF(D77&lt;DataRef,"Atrasada","No prazo")))</f>
        <v/>
      </c>
    </row>
    <row r="78" spans="1:7" x14ac:dyDescent="0.25">
      <c r="A78" s="19"/>
      <c r="B78" s="21"/>
      <c r="C78" s="21"/>
      <c r="D78" s="18"/>
      <c r="E78" s="17"/>
      <c r="F78" s="19"/>
      <c r="G78" s="23" t="str">
        <f>IF(A78="","",IF(E78="Concluída","Concluída",IF(D78&lt;DataRef,"Atrasada","No prazo")))</f>
        <v/>
      </c>
    </row>
    <row r="79" spans="1:7" x14ac:dyDescent="0.25">
      <c r="A79" s="19"/>
      <c r="B79" s="21"/>
      <c r="C79" s="21"/>
      <c r="D79" s="18"/>
      <c r="E79" s="17"/>
      <c r="F79" s="19"/>
      <c r="G79" s="23" t="str">
        <f>IF(A79="","",IF(E79="Concluída","Concluída",IF(D79&lt;DataRef,"Atrasada","No prazo")))</f>
        <v/>
      </c>
    </row>
    <row r="80" spans="1:7" x14ac:dyDescent="0.25">
      <c r="A80" s="19"/>
      <c r="B80" s="21"/>
      <c r="C80" s="21"/>
      <c r="D80" s="18"/>
      <c r="E80" s="17"/>
      <c r="F80" s="19"/>
      <c r="G80" s="23" t="str">
        <f>IF(A80="","",IF(E80="Concluída","Concluída",IF(D80&lt;DataRef,"Atrasada","No prazo")))</f>
        <v/>
      </c>
    </row>
    <row r="81" spans="1:7" x14ac:dyDescent="0.25">
      <c r="A81" s="19"/>
      <c r="B81" s="21"/>
      <c r="C81" s="21"/>
      <c r="D81" s="18"/>
      <c r="E81" s="17"/>
      <c r="F81" s="19"/>
      <c r="G81" s="23" t="str">
        <f>IF(A81="","",IF(E81="Concluída","Concluída",IF(D81&lt;DataRef,"Atrasada","No prazo")))</f>
        <v/>
      </c>
    </row>
    <row r="82" spans="1:7" x14ac:dyDescent="0.25">
      <c r="A82" s="19"/>
      <c r="B82" s="21"/>
      <c r="C82" s="21"/>
      <c r="D82" s="18"/>
      <c r="E82" s="17"/>
      <c r="F82" s="19"/>
      <c r="G82" s="23" t="str">
        <f>IF(A82="","",IF(E82="Concluída","Concluída",IF(D82&lt;DataRef,"Atrasada","No prazo")))</f>
        <v/>
      </c>
    </row>
    <row r="83" spans="1:7" x14ac:dyDescent="0.25">
      <c r="A83" s="19"/>
      <c r="B83" s="21"/>
      <c r="C83" s="21"/>
      <c r="D83" s="18"/>
      <c r="E83" s="17"/>
      <c r="F83" s="19"/>
      <c r="G83" s="23" t="str">
        <f>IF(A83="","",IF(E83="Concluída","Concluída",IF(D83&lt;DataRef,"Atrasada","No prazo")))</f>
        <v/>
      </c>
    </row>
    <row r="84" spans="1:7" x14ac:dyDescent="0.25">
      <c r="A84" s="19"/>
      <c r="B84" s="21"/>
      <c r="C84" s="21"/>
      <c r="D84" s="18"/>
      <c r="E84" s="17"/>
      <c r="F84" s="19"/>
      <c r="G84" s="23" t="str">
        <f>IF(A84="","",IF(E84="Concluída","Concluída",IF(D84&lt;DataRef,"Atrasada","No prazo")))</f>
        <v/>
      </c>
    </row>
    <row r="85" spans="1:7" x14ac:dyDescent="0.25">
      <c r="A85" s="19"/>
      <c r="B85" s="21"/>
      <c r="C85" s="21"/>
      <c r="D85" s="18"/>
      <c r="E85" s="17"/>
      <c r="F85" s="19"/>
      <c r="G85" s="23" t="str">
        <f>IF(A85="","",IF(E85="Concluída","Concluída",IF(D85&lt;DataRef,"Atrasada","No prazo")))</f>
        <v/>
      </c>
    </row>
    <row r="86" spans="1:7" x14ac:dyDescent="0.25">
      <c r="A86" s="19"/>
      <c r="B86" s="21"/>
      <c r="C86" s="21"/>
      <c r="D86" s="18"/>
      <c r="E86" s="17"/>
      <c r="F86" s="19"/>
      <c r="G86" s="23" t="str">
        <f>IF(A86="","",IF(E86="Concluída","Concluída",IF(D86&lt;DataRef,"Atrasada","No prazo")))</f>
        <v/>
      </c>
    </row>
    <row r="87" spans="1:7" x14ac:dyDescent="0.25">
      <c r="A87" s="19"/>
      <c r="B87" s="21"/>
      <c r="C87" s="21"/>
      <c r="D87" s="18"/>
      <c r="E87" s="17"/>
      <c r="F87" s="19"/>
      <c r="G87" s="23" t="str">
        <f>IF(A87="","",IF(E87="Concluída","Concluída",IF(D87&lt;DataRef,"Atrasada","No prazo")))</f>
        <v/>
      </c>
    </row>
    <row r="88" spans="1:7" x14ac:dyDescent="0.25">
      <c r="A88" s="19"/>
      <c r="B88" s="21"/>
      <c r="C88" s="21"/>
      <c r="D88" s="18"/>
      <c r="E88" s="17"/>
      <c r="F88" s="19"/>
      <c r="G88" s="23" t="str">
        <f>IF(A88="","",IF(E88="Concluída","Concluída",IF(D88&lt;DataRef,"Atrasada","No prazo")))</f>
        <v/>
      </c>
    </row>
    <row r="89" spans="1:7" x14ac:dyDescent="0.25">
      <c r="A89" s="19"/>
      <c r="B89" s="21"/>
      <c r="C89" s="21"/>
      <c r="D89" s="18"/>
      <c r="E89" s="17"/>
      <c r="F89" s="19"/>
      <c r="G89" s="23" t="str">
        <f>IF(A89="","",IF(E89="Concluída","Concluída",IF(D89&lt;DataRef,"Atrasada","No prazo")))</f>
        <v/>
      </c>
    </row>
    <row r="90" spans="1:7" x14ac:dyDescent="0.25">
      <c r="A90" s="19"/>
      <c r="B90" s="21"/>
      <c r="C90" s="21"/>
      <c r="D90" s="18"/>
      <c r="E90" s="17"/>
      <c r="F90" s="19"/>
      <c r="G90" s="23" t="str">
        <f>IF(A90="","",IF(E90="Concluída","Concluída",IF(D90&lt;DataRef,"Atrasada","No prazo")))</f>
        <v/>
      </c>
    </row>
    <row r="91" spans="1:7" x14ac:dyDescent="0.25">
      <c r="A91" s="19"/>
      <c r="B91" s="21"/>
      <c r="C91" s="21"/>
      <c r="D91" s="18"/>
      <c r="E91" s="17"/>
      <c r="F91" s="19"/>
      <c r="G91" s="23" t="str">
        <f>IF(A91="","",IF(E91="Concluída","Concluída",IF(D91&lt;DataRef,"Atrasada","No prazo")))</f>
        <v/>
      </c>
    </row>
    <row r="92" spans="1:7" x14ac:dyDescent="0.25">
      <c r="A92" s="19"/>
      <c r="B92" s="21"/>
      <c r="C92" s="21"/>
      <c r="D92" s="18"/>
      <c r="E92" s="17"/>
      <c r="F92" s="19"/>
      <c r="G92" s="23" t="str">
        <f>IF(A92="","",IF(E92="Concluída","Concluída",IF(D92&lt;DataRef,"Atrasada","No prazo")))</f>
        <v/>
      </c>
    </row>
    <row r="93" spans="1:7" x14ac:dyDescent="0.25">
      <c r="A93" s="19"/>
      <c r="B93" s="21"/>
      <c r="C93" s="21"/>
      <c r="D93" s="18"/>
      <c r="E93" s="17"/>
      <c r="F93" s="19"/>
      <c r="G93" s="23" t="str">
        <f>IF(A93="","",IF(E93="Concluída","Concluída",IF(D93&lt;DataRef,"Atrasada","No prazo")))</f>
        <v/>
      </c>
    </row>
    <row r="94" spans="1:7" x14ac:dyDescent="0.25">
      <c r="A94" s="19"/>
      <c r="B94" s="21"/>
      <c r="C94" s="21"/>
      <c r="D94" s="18"/>
      <c r="E94" s="17"/>
      <c r="F94" s="19"/>
      <c r="G94" s="23" t="str">
        <f>IF(A94="","",IF(E94="Concluída","Concluída",IF(D94&lt;DataRef,"Atrasada","No prazo")))</f>
        <v/>
      </c>
    </row>
    <row r="95" spans="1:7" x14ac:dyDescent="0.25">
      <c r="A95" s="19"/>
      <c r="B95" s="21"/>
      <c r="C95" s="21"/>
      <c r="D95" s="18"/>
      <c r="E95" s="17"/>
      <c r="F95" s="19"/>
      <c r="G95" s="23" t="str">
        <f>IF(A95="","",IF(E95="Concluída","Concluída",IF(D95&lt;DataRef,"Atrasada","No prazo")))</f>
        <v/>
      </c>
    </row>
    <row r="96" spans="1:7" x14ac:dyDescent="0.25">
      <c r="A96" s="19"/>
      <c r="B96" s="21"/>
      <c r="C96" s="21"/>
      <c r="D96" s="18"/>
      <c r="E96" s="17"/>
      <c r="F96" s="19"/>
      <c r="G96" s="23" t="str">
        <f>IF(A96="","",IF(E96="Concluída","Concluída",IF(D96&lt;DataRef,"Atrasada","No prazo")))</f>
        <v/>
      </c>
    </row>
    <row r="97" spans="1:7" x14ac:dyDescent="0.25">
      <c r="A97" s="19"/>
      <c r="B97" s="21"/>
      <c r="C97" s="21"/>
      <c r="D97" s="18"/>
      <c r="E97" s="17"/>
      <c r="F97" s="19"/>
      <c r="G97" s="23" t="str">
        <f>IF(A97="","",IF(E97="Concluída","Concluída",IF(D97&lt;DataRef,"Atrasada","No prazo")))</f>
        <v/>
      </c>
    </row>
    <row r="98" spans="1:7" x14ac:dyDescent="0.25">
      <c r="A98" s="19"/>
      <c r="B98" s="21"/>
      <c r="C98" s="21"/>
      <c r="D98" s="18"/>
      <c r="E98" s="17"/>
      <c r="F98" s="19"/>
      <c r="G98" s="23" t="str">
        <f>IF(A98="","",IF(E98="Concluída","Concluída",IF(D98&lt;DataRef,"Atrasada","No prazo")))</f>
        <v/>
      </c>
    </row>
    <row r="99" spans="1:7" x14ac:dyDescent="0.25">
      <c r="A99" s="19"/>
      <c r="B99" s="21"/>
      <c r="C99" s="21"/>
      <c r="D99" s="18"/>
      <c r="E99" s="17"/>
      <c r="F99" s="19"/>
      <c r="G99" s="23" t="str">
        <f>IF(A99="","",IF(E99="Concluída","Concluída",IF(D99&lt;DataRef,"Atrasada","No prazo")))</f>
        <v/>
      </c>
    </row>
    <row r="100" spans="1:7" x14ac:dyDescent="0.25">
      <c r="A100" s="19"/>
      <c r="B100" s="21"/>
      <c r="C100" s="21"/>
      <c r="D100" s="18"/>
      <c r="E100" s="17"/>
      <c r="F100" s="19"/>
      <c r="G100" s="23" t="str">
        <f>IF(A100="","",IF(E100="Concluída","Concluída",IF(D100&lt;DataRef,"Atrasada","No prazo")))</f>
        <v/>
      </c>
    </row>
    <row r="101" spans="1:7" x14ac:dyDescent="0.25">
      <c r="A101" s="19"/>
      <c r="B101" s="21"/>
      <c r="C101" s="21"/>
      <c r="D101" s="18"/>
      <c r="E101" s="17"/>
      <c r="F101" s="19"/>
      <c r="G101" s="23" t="str">
        <f>IF(A101="","",IF(E101="Concluída","Concluída",IF(D101&lt;DataRef,"Atrasada","No prazo")))</f>
        <v/>
      </c>
    </row>
    <row r="102" spans="1:7" x14ac:dyDescent="0.25">
      <c r="A102" s="19"/>
      <c r="B102" s="21"/>
      <c r="C102" s="21"/>
      <c r="D102" s="18"/>
      <c r="E102" s="17"/>
      <c r="F102" s="19"/>
      <c r="G102" s="23" t="str">
        <f>IF(A102="","",IF(E102="Concluída","Concluída",IF(D102&lt;DataRef,"Atrasada","No prazo")))</f>
        <v/>
      </c>
    </row>
    <row r="103" spans="1:7" x14ac:dyDescent="0.25">
      <c r="A103" s="19"/>
      <c r="B103" s="21"/>
      <c r="C103" s="21"/>
      <c r="D103" s="18"/>
      <c r="E103" s="17"/>
      <c r="F103" s="19"/>
      <c r="G103" s="23" t="str">
        <f>IF(A103="","",IF(E103="Concluída","Concluída",IF(D103&lt;DataRef,"Atrasada","No prazo")))</f>
        <v/>
      </c>
    </row>
    <row r="104" spans="1:7" x14ac:dyDescent="0.25">
      <c r="A104" s="19"/>
      <c r="B104" s="21"/>
      <c r="C104" s="21"/>
      <c r="D104" s="18"/>
      <c r="E104" s="17"/>
      <c r="F104" s="19"/>
      <c r="G104" s="23" t="str">
        <f>IF(A104="","",IF(E104="Concluída","Concluída",IF(D104&lt;DataRef,"Atrasada","No prazo")))</f>
        <v/>
      </c>
    </row>
    <row r="105" spans="1:7" x14ac:dyDescent="0.25">
      <c r="A105" s="19"/>
      <c r="B105" s="21"/>
      <c r="C105" s="21"/>
      <c r="D105" s="18"/>
      <c r="E105" s="17"/>
      <c r="F105" s="19"/>
      <c r="G105" s="23" t="str">
        <f>IF(A105="","",IF(E105="Concluída","Concluída",IF(D105&lt;DataRef,"Atrasada","No prazo")))</f>
        <v/>
      </c>
    </row>
    <row r="106" spans="1:7" x14ac:dyDescent="0.25">
      <c r="A106" s="19"/>
      <c r="B106" s="21"/>
      <c r="C106" s="21"/>
      <c r="D106" s="18"/>
      <c r="E106" s="17"/>
      <c r="F106" s="19"/>
      <c r="G106" s="23" t="str">
        <f>IF(A106="","",IF(E106="Concluída","Concluída",IF(D106&lt;DataRef,"Atrasada","No prazo")))</f>
        <v/>
      </c>
    </row>
    <row r="107" spans="1:7" x14ac:dyDescent="0.25">
      <c r="A107" s="19"/>
      <c r="B107" s="21"/>
      <c r="C107" s="21"/>
      <c r="D107" s="18"/>
      <c r="E107" s="17"/>
      <c r="F107" s="19"/>
      <c r="G107" s="23" t="str">
        <f>IF(A107="","",IF(E107="Concluída","Concluída",IF(D107&lt;DataRef,"Atrasada","No prazo")))</f>
        <v/>
      </c>
    </row>
    <row r="108" spans="1:7" x14ac:dyDescent="0.25">
      <c r="A108" s="19"/>
      <c r="B108" s="21"/>
      <c r="C108" s="21"/>
      <c r="D108" s="18"/>
      <c r="E108" s="17"/>
      <c r="F108" s="19"/>
      <c r="G108" s="23" t="str">
        <f>IF(A108="","",IF(E108="Concluída","Concluída",IF(D108&lt;DataRef,"Atrasada","No prazo")))</f>
        <v/>
      </c>
    </row>
    <row r="109" spans="1:7" x14ac:dyDescent="0.25">
      <c r="A109" s="19"/>
      <c r="B109" s="21"/>
      <c r="C109" s="21"/>
      <c r="D109" s="18"/>
      <c r="E109" s="17"/>
      <c r="F109" s="19"/>
      <c r="G109" s="23" t="str">
        <f>IF(A109="","",IF(E109="Concluída","Concluída",IF(D109&lt;DataRef,"Atrasada","No prazo")))</f>
        <v/>
      </c>
    </row>
    <row r="110" spans="1:7" x14ac:dyDescent="0.25">
      <c r="A110" s="19"/>
      <c r="B110" s="21"/>
      <c r="C110" s="21"/>
      <c r="D110" s="18"/>
      <c r="E110" s="17"/>
      <c r="F110" s="19"/>
      <c r="G110" s="23" t="str">
        <f>IF(A110="","",IF(E110="Concluída","Concluída",IF(D110&lt;DataRef,"Atrasada","No prazo")))</f>
        <v/>
      </c>
    </row>
    <row r="111" spans="1:7" x14ac:dyDescent="0.25">
      <c r="A111" s="19"/>
      <c r="B111" s="21"/>
      <c r="C111" s="21"/>
      <c r="D111" s="18"/>
      <c r="E111" s="17"/>
      <c r="F111" s="19"/>
      <c r="G111" s="23" t="str">
        <f>IF(A111="","",IF(E111="Concluída","Concluída",IF(D111&lt;DataRef,"Atrasada","No prazo")))</f>
        <v/>
      </c>
    </row>
    <row r="112" spans="1:7" x14ac:dyDescent="0.25">
      <c r="A112" s="19"/>
      <c r="B112" s="21"/>
      <c r="C112" s="21"/>
      <c r="D112" s="18"/>
      <c r="E112" s="17"/>
      <c r="F112" s="19"/>
      <c r="G112" s="23" t="str">
        <f>IF(A112="","",IF(E112="Concluída","Concluída",IF(D112&lt;DataRef,"Atrasada","No prazo")))</f>
        <v/>
      </c>
    </row>
    <row r="113" spans="1:7" x14ac:dyDescent="0.25">
      <c r="A113" s="19"/>
      <c r="B113" s="21"/>
      <c r="C113" s="21"/>
      <c r="D113" s="18"/>
      <c r="E113" s="17"/>
      <c r="F113" s="19"/>
      <c r="G113" s="23" t="str">
        <f>IF(A113="","",IF(E113="Concluída","Concluída",IF(D113&lt;DataRef,"Atrasada","No prazo")))</f>
        <v/>
      </c>
    </row>
    <row r="114" spans="1:7" x14ac:dyDescent="0.25">
      <c r="A114" s="19"/>
      <c r="B114" s="21"/>
      <c r="C114" s="21"/>
      <c r="D114" s="18"/>
      <c r="E114" s="17"/>
      <c r="F114" s="19"/>
      <c r="G114" s="23" t="str">
        <f>IF(A114="","",IF(E114="Concluída","Concluída",IF(D114&lt;DataRef,"Atrasada","No prazo")))</f>
        <v/>
      </c>
    </row>
    <row r="115" spans="1:7" x14ac:dyDescent="0.25">
      <c r="A115" s="19"/>
      <c r="B115" s="21"/>
      <c r="C115" s="21"/>
      <c r="D115" s="18"/>
      <c r="E115" s="17"/>
      <c r="F115" s="19"/>
      <c r="G115" s="23" t="str">
        <f>IF(A115="","",IF(E115="Concluída","Concluída",IF(D115&lt;DataRef,"Atrasada","No prazo")))</f>
        <v/>
      </c>
    </row>
    <row r="116" spans="1:7" x14ac:dyDescent="0.25">
      <c r="A116" s="19"/>
      <c r="B116" s="21"/>
      <c r="C116" s="21"/>
      <c r="D116" s="18"/>
      <c r="E116" s="17"/>
      <c r="F116" s="19"/>
      <c r="G116" s="23" t="str">
        <f>IF(A116="","",IF(E116="Concluída","Concluída",IF(D116&lt;DataRef,"Atrasada","No prazo")))</f>
        <v/>
      </c>
    </row>
    <row r="117" spans="1:7" x14ac:dyDescent="0.25">
      <c r="A117" s="19"/>
      <c r="B117" s="21"/>
      <c r="C117" s="21"/>
      <c r="D117" s="18"/>
      <c r="E117" s="17"/>
      <c r="F117" s="19"/>
      <c r="G117" s="23" t="str">
        <f>IF(A117="","",IF(E117="Concluída","Concluída",IF(D117&lt;DataRef,"Atrasada","No prazo")))</f>
        <v/>
      </c>
    </row>
    <row r="118" spans="1:7" x14ac:dyDescent="0.25">
      <c r="A118" s="19"/>
      <c r="B118" s="21"/>
      <c r="C118" s="21"/>
      <c r="D118" s="18"/>
      <c r="E118" s="17"/>
      <c r="F118" s="19"/>
      <c r="G118" s="23" t="str">
        <f>IF(A118="","",IF(E118="Concluída","Concluída",IF(D118&lt;DataRef,"Atrasada","No prazo")))</f>
        <v/>
      </c>
    </row>
    <row r="119" spans="1:7" x14ac:dyDescent="0.25">
      <c r="A119" s="19"/>
      <c r="B119" s="21"/>
      <c r="C119" s="21"/>
      <c r="D119" s="18"/>
      <c r="E119" s="17"/>
      <c r="F119" s="19"/>
      <c r="G119" s="23" t="str">
        <f>IF(A119="","",IF(E119="Concluída","Concluída",IF(D119&lt;DataRef,"Atrasada","No prazo")))</f>
        <v/>
      </c>
    </row>
    <row r="120" spans="1:7" x14ac:dyDescent="0.25">
      <c r="A120" s="19"/>
      <c r="B120" s="21"/>
      <c r="C120" s="21"/>
      <c r="D120" s="18"/>
      <c r="E120" s="17"/>
      <c r="F120" s="19"/>
      <c r="G120" s="23" t="str">
        <f>IF(A120="","",IF(E120="Concluída","Concluída",IF(D120&lt;DataRef,"Atrasada","No prazo")))</f>
        <v/>
      </c>
    </row>
    <row r="121" spans="1:7" x14ac:dyDescent="0.25">
      <c r="A121" s="19"/>
      <c r="B121" s="21"/>
      <c r="C121" s="21"/>
      <c r="D121" s="18"/>
      <c r="E121" s="17"/>
      <c r="F121" s="19"/>
      <c r="G121" s="23" t="str">
        <f>IF(A121="","",IF(E121="Concluída","Concluída",IF(D121&lt;DataRef,"Atrasada","No prazo")))</f>
        <v/>
      </c>
    </row>
    <row r="122" spans="1:7" x14ac:dyDescent="0.25">
      <c r="A122" s="19"/>
      <c r="B122" s="21"/>
      <c r="C122" s="21"/>
      <c r="D122" s="18"/>
      <c r="E122" s="17"/>
      <c r="F122" s="19"/>
      <c r="G122" s="23" t="str">
        <f>IF(A122="","",IF(E122="Concluída","Concluída",IF(D122&lt;DataRef,"Atrasada","No prazo")))</f>
        <v/>
      </c>
    </row>
    <row r="123" spans="1:7" x14ac:dyDescent="0.25">
      <c r="A123" s="19"/>
      <c r="B123" s="21"/>
      <c r="C123" s="21"/>
      <c r="D123" s="18"/>
      <c r="E123" s="17"/>
      <c r="F123" s="19"/>
      <c r="G123" s="23" t="str">
        <f>IF(A123="","",IF(E123="Concluída","Concluída",IF(D123&lt;DataRef,"Atrasada","No prazo")))</f>
        <v/>
      </c>
    </row>
    <row r="124" spans="1:7" x14ac:dyDescent="0.25">
      <c r="A124" s="19"/>
      <c r="B124" s="21"/>
      <c r="C124" s="21"/>
      <c r="D124" s="18"/>
      <c r="E124" s="17"/>
      <c r="F124" s="19"/>
      <c r="G124" s="23" t="str">
        <f>IF(A124="","",IF(E124="Concluída","Concluída",IF(D124&lt;DataRef,"Atrasada","No prazo")))</f>
        <v/>
      </c>
    </row>
    <row r="125" spans="1:7" x14ac:dyDescent="0.25">
      <c r="A125" s="19"/>
      <c r="B125" s="21"/>
      <c r="C125" s="21"/>
      <c r="D125" s="18"/>
      <c r="E125" s="17"/>
      <c r="F125" s="19"/>
      <c r="G125" s="23" t="str">
        <f>IF(A125="","",IF(E125="Concluída","Concluída",IF(D125&lt;DataRef,"Atrasada","No prazo")))</f>
        <v/>
      </c>
    </row>
    <row r="126" spans="1:7" x14ac:dyDescent="0.25">
      <c r="A126" s="19"/>
      <c r="B126" s="21"/>
      <c r="C126" s="21"/>
      <c r="D126" s="18"/>
      <c r="E126" s="17"/>
      <c r="F126" s="19"/>
      <c r="G126" s="23" t="str">
        <f>IF(A126="","",IF(E126="Concluída","Concluída",IF(D126&lt;DataRef,"Atrasada","No prazo")))</f>
        <v/>
      </c>
    </row>
    <row r="127" spans="1:7" x14ac:dyDescent="0.25">
      <c r="A127" s="19"/>
      <c r="B127" s="21"/>
      <c r="C127" s="21"/>
      <c r="D127" s="18"/>
      <c r="E127" s="17"/>
      <c r="F127" s="19"/>
      <c r="G127" s="23" t="str">
        <f>IF(A127="","",IF(E127="Concluída","Concluída",IF(D127&lt;DataRef,"Atrasada","No prazo")))</f>
        <v/>
      </c>
    </row>
    <row r="128" spans="1:7" x14ac:dyDescent="0.25">
      <c r="A128" s="19"/>
      <c r="B128" s="21"/>
      <c r="C128" s="21"/>
      <c r="D128" s="18"/>
      <c r="E128" s="17"/>
      <c r="F128" s="19"/>
      <c r="G128" s="23" t="str">
        <f>IF(A128="","",IF(E128="Concluída","Concluída",IF(D128&lt;DataRef,"Atrasada","No prazo")))</f>
        <v/>
      </c>
    </row>
    <row r="129" spans="1:7" x14ac:dyDescent="0.25">
      <c r="A129" s="19"/>
      <c r="B129" s="21"/>
      <c r="C129" s="21"/>
      <c r="D129" s="18"/>
      <c r="E129" s="17"/>
      <c r="F129" s="19"/>
      <c r="G129" s="23" t="str">
        <f>IF(A129="","",IF(E129="Concluída","Concluída",IF(D129&lt;DataRef,"Atrasada","No prazo")))</f>
        <v/>
      </c>
    </row>
    <row r="130" spans="1:7" x14ac:dyDescent="0.25">
      <c r="A130" s="19"/>
      <c r="B130" s="21"/>
      <c r="C130" s="21"/>
      <c r="D130" s="18"/>
      <c r="E130" s="17"/>
      <c r="F130" s="19"/>
      <c r="G130" s="23" t="str">
        <f>IF(A130="","",IF(E130="Concluída","Concluída",IF(D130&lt;DataRef,"Atrasada","No prazo")))</f>
        <v/>
      </c>
    </row>
    <row r="131" spans="1:7" x14ac:dyDescent="0.25">
      <c r="A131" s="19"/>
      <c r="B131" s="21"/>
      <c r="C131" s="21"/>
      <c r="D131" s="18"/>
      <c r="E131" s="17"/>
      <c r="F131" s="19"/>
      <c r="G131" s="23" t="str">
        <f>IF(A131="","",IF(E131="Concluída","Concluída",IF(D131&lt;DataRef,"Atrasada","No prazo")))</f>
        <v/>
      </c>
    </row>
    <row r="132" spans="1:7" x14ac:dyDescent="0.25">
      <c r="A132" s="19"/>
      <c r="B132" s="21"/>
      <c r="C132" s="21"/>
      <c r="D132" s="18"/>
      <c r="E132" s="17"/>
      <c r="F132" s="19"/>
      <c r="G132" s="23" t="str">
        <f>IF(A132="","",IF(E132="Concluída","Concluída",IF(D132&lt;DataRef,"Atrasada","No prazo")))</f>
        <v/>
      </c>
    </row>
    <row r="133" spans="1:7" x14ac:dyDescent="0.25">
      <c r="A133" s="19"/>
      <c r="B133" s="21"/>
      <c r="C133" s="21"/>
      <c r="D133" s="18"/>
      <c r="E133" s="17"/>
      <c r="F133" s="19"/>
      <c r="G133" s="23" t="str">
        <f>IF(A133="","",IF(E133="Concluída","Concluída",IF(D133&lt;DataRef,"Atrasada","No prazo")))</f>
        <v/>
      </c>
    </row>
    <row r="134" spans="1:7" x14ac:dyDescent="0.25">
      <c r="A134" s="19"/>
      <c r="B134" s="21"/>
      <c r="C134" s="21"/>
      <c r="D134" s="18"/>
      <c r="E134" s="17"/>
      <c r="F134" s="19"/>
      <c r="G134" s="23" t="str">
        <f>IF(A134="","",IF(E134="Concluída","Concluída",IF(D134&lt;DataRef,"Atrasada","No prazo")))</f>
        <v/>
      </c>
    </row>
    <row r="135" spans="1:7" x14ac:dyDescent="0.25">
      <c r="A135" s="19"/>
      <c r="B135" s="21"/>
      <c r="C135" s="21"/>
      <c r="D135" s="18"/>
      <c r="E135" s="17"/>
      <c r="F135" s="19"/>
      <c r="G135" s="23" t="str">
        <f>IF(A135="","",IF(E135="Concluída","Concluída",IF(D135&lt;DataRef,"Atrasada","No prazo")))</f>
        <v/>
      </c>
    </row>
    <row r="136" spans="1:7" x14ac:dyDescent="0.25">
      <c r="A136" s="19"/>
      <c r="B136" s="21"/>
      <c r="C136" s="21"/>
      <c r="D136" s="18"/>
      <c r="E136" s="17"/>
      <c r="F136" s="19"/>
      <c r="G136" s="23" t="str">
        <f>IF(A136="","",IF(E136="Concluída","Concluída",IF(D136&lt;DataRef,"Atrasada","No prazo")))</f>
        <v/>
      </c>
    </row>
    <row r="137" spans="1:7" x14ac:dyDescent="0.25">
      <c r="A137" s="19"/>
      <c r="B137" s="21"/>
      <c r="C137" s="21"/>
      <c r="D137" s="18"/>
      <c r="E137" s="17"/>
      <c r="F137" s="19"/>
      <c r="G137" s="23" t="str">
        <f>IF(A137="","",IF(E137="Concluída","Concluída",IF(D137&lt;DataRef,"Atrasada","No prazo")))</f>
        <v/>
      </c>
    </row>
    <row r="138" spans="1:7" x14ac:dyDescent="0.25">
      <c r="A138" s="19"/>
      <c r="B138" s="21"/>
      <c r="C138" s="21"/>
      <c r="D138" s="18"/>
      <c r="E138" s="17"/>
      <c r="F138" s="19"/>
      <c r="G138" s="23" t="str">
        <f>IF(A138="","",IF(E138="Concluída","Concluída",IF(D138&lt;DataRef,"Atrasada","No prazo")))</f>
        <v/>
      </c>
    </row>
    <row r="139" spans="1:7" x14ac:dyDescent="0.25">
      <c r="A139" s="19"/>
      <c r="B139" s="21"/>
      <c r="C139" s="21"/>
      <c r="D139" s="18"/>
      <c r="E139" s="17"/>
      <c r="F139" s="19"/>
      <c r="G139" s="23" t="str">
        <f>IF(A139="","",IF(E139="Concluída","Concluída",IF(D139&lt;DataRef,"Atrasada","No prazo")))</f>
        <v/>
      </c>
    </row>
    <row r="140" spans="1:7" x14ac:dyDescent="0.25">
      <c r="A140" s="19"/>
      <c r="B140" s="21"/>
      <c r="C140" s="21"/>
      <c r="D140" s="18"/>
      <c r="E140" s="17"/>
      <c r="F140" s="19"/>
      <c r="G140" s="23" t="str">
        <f>IF(A140="","",IF(E140="Concluída","Concluída",IF(D140&lt;DataRef,"Atrasada","No prazo")))</f>
        <v/>
      </c>
    </row>
    <row r="141" spans="1:7" x14ac:dyDescent="0.25">
      <c r="A141" s="19"/>
      <c r="B141" s="21"/>
      <c r="C141" s="21"/>
      <c r="D141" s="18"/>
      <c r="E141" s="17"/>
      <c r="F141" s="19"/>
      <c r="G141" s="23" t="str">
        <f>IF(A141="","",IF(E141="Concluída","Concluída",IF(D141&lt;DataRef,"Atrasada","No prazo")))</f>
        <v/>
      </c>
    </row>
    <row r="142" spans="1:7" x14ac:dyDescent="0.25">
      <c r="A142" s="19"/>
      <c r="B142" s="21"/>
      <c r="C142" s="21"/>
      <c r="D142" s="18"/>
      <c r="E142" s="17"/>
      <c r="F142" s="19"/>
      <c r="G142" s="23" t="str">
        <f>IF(A142="","",IF(E142="Concluída","Concluída",IF(D142&lt;DataRef,"Atrasada","No prazo")))</f>
        <v/>
      </c>
    </row>
    <row r="143" spans="1:7" x14ac:dyDescent="0.25">
      <c r="A143" s="19"/>
      <c r="B143" s="21"/>
      <c r="C143" s="21"/>
      <c r="D143" s="18"/>
      <c r="E143" s="17"/>
      <c r="F143" s="19"/>
      <c r="G143" s="23" t="str">
        <f>IF(A143="","",IF(E143="Concluída","Concluída",IF(D143&lt;DataRef,"Atrasada","No prazo")))</f>
        <v/>
      </c>
    </row>
    <row r="144" spans="1:7" x14ac:dyDescent="0.25">
      <c r="A144" s="19"/>
      <c r="B144" s="21"/>
      <c r="C144" s="21"/>
      <c r="D144" s="18"/>
      <c r="E144" s="17"/>
      <c r="F144" s="19"/>
      <c r="G144" s="23" t="str">
        <f>IF(A144="","",IF(E144="Concluída","Concluída",IF(D144&lt;DataRef,"Atrasada","No prazo")))</f>
        <v/>
      </c>
    </row>
    <row r="145" spans="1:7" x14ac:dyDescent="0.25">
      <c r="A145" s="19"/>
      <c r="B145" s="21"/>
      <c r="C145" s="21"/>
      <c r="D145" s="18"/>
      <c r="E145" s="17"/>
      <c r="F145" s="19"/>
      <c r="G145" s="23" t="str">
        <f>IF(A145="","",IF(E145="Concluída","Concluída",IF(D145&lt;DataRef,"Atrasada","No prazo")))</f>
        <v/>
      </c>
    </row>
    <row r="146" spans="1:7" x14ac:dyDescent="0.25">
      <c r="A146" s="19"/>
      <c r="B146" s="21"/>
      <c r="C146" s="21"/>
      <c r="D146" s="18"/>
      <c r="E146" s="17"/>
      <c r="F146" s="19"/>
      <c r="G146" s="23" t="str">
        <f>IF(A146="","",IF(E146="Concluída","Concluída",IF(D146&lt;DataRef,"Atrasada","No prazo")))</f>
        <v/>
      </c>
    </row>
    <row r="147" spans="1:7" x14ac:dyDescent="0.25">
      <c r="A147" s="19"/>
      <c r="B147" s="21"/>
      <c r="C147" s="21"/>
      <c r="D147" s="18"/>
      <c r="E147" s="17"/>
      <c r="F147" s="19"/>
      <c r="G147" s="23" t="str">
        <f>IF(A147="","",IF(E147="Concluída","Concluída",IF(D147&lt;DataRef,"Atrasada","No prazo")))</f>
        <v/>
      </c>
    </row>
    <row r="148" spans="1:7" x14ac:dyDescent="0.25">
      <c r="A148" s="19"/>
      <c r="B148" s="21"/>
      <c r="C148" s="21"/>
      <c r="D148" s="18"/>
      <c r="E148" s="17"/>
      <c r="F148" s="19"/>
      <c r="G148" s="23" t="str">
        <f>IF(A148="","",IF(E148="Concluída","Concluída",IF(D148&lt;DataRef,"Atrasada","No prazo")))</f>
        <v/>
      </c>
    </row>
    <row r="149" spans="1:7" x14ac:dyDescent="0.25">
      <c r="A149" s="19"/>
      <c r="B149" s="21"/>
      <c r="C149" s="21"/>
      <c r="D149" s="18"/>
      <c r="E149" s="17"/>
      <c r="F149" s="19"/>
      <c r="G149" s="23" t="str">
        <f>IF(A149="","",IF(E149="Concluída","Concluída",IF(D149&lt;DataRef,"Atrasada","No prazo")))</f>
        <v/>
      </c>
    </row>
    <row r="150" spans="1:7" x14ac:dyDescent="0.25">
      <c r="A150" s="19"/>
      <c r="B150" s="21"/>
      <c r="C150" s="21"/>
      <c r="D150" s="18"/>
      <c r="E150" s="17"/>
      <c r="F150" s="19"/>
      <c r="G150" s="23" t="str">
        <f>IF(A150="","",IF(E150="Concluída","Concluída",IF(D150&lt;DataRef,"Atrasada","No prazo")))</f>
        <v/>
      </c>
    </row>
    <row r="151" spans="1:7" x14ac:dyDescent="0.25">
      <c r="A151" s="19"/>
      <c r="B151" s="21"/>
      <c r="C151" s="21"/>
      <c r="D151" s="18"/>
      <c r="E151" s="17"/>
      <c r="F151" s="19"/>
      <c r="G151" s="23" t="str">
        <f>IF(A151="","",IF(E151="Concluída","Concluída",IF(D151&lt;DataRef,"Atrasada","No prazo")))</f>
        <v/>
      </c>
    </row>
    <row r="152" spans="1:7" x14ac:dyDescent="0.25">
      <c r="A152" s="19"/>
      <c r="B152" s="21"/>
      <c r="C152" s="21"/>
      <c r="D152" s="18"/>
      <c r="E152" s="17"/>
      <c r="F152" s="19"/>
      <c r="G152" s="23" t="str">
        <f>IF(A152="","",IF(E152="Concluída","Concluída",IF(D152&lt;DataRef,"Atrasada","No prazo")))</f>
        <v/>
      </c>
    </row>
    <row r="153" spans="1:7" x14ac:dyDescent="0.25">
      <c r="A153" s="19"/>
      <c r="B153" s="21"/>
      <c r="C153" s="21"/>
      <c r="D153" s="18"/>
      <c r="E153" s="17"/>
      <c r="F153" s="19"/>
      <c r="G153" s="23" t="str">
        <f>IF(A153="","",IF(E153="Concluída","Concluída",IF(D153&lt;DataRef,"Atrasada","No prazo")))</f>
        <v/>
      </c>
    </row>
    <row r="154" spans="1:7" x14ac:dyDescent="0.25">
      <c r="A154" s="19"/>
      <c r="B154" s="21"/>
      <c r="C154" s="21"/>
      <c r="D154" s="18"/>
      <c r="E154" s="17"/>
      <c r="F154" s="19"/>
      <c r="G154" s="23" t="str">
        <f>IF(A154="","",IF(E154="Concluída","Concluída",IF(D154&lt;DataRef,"Atrasada","No prazo")))</f>
        <v/>
      </c>
    </row>
    <row r="155" spans="1:7" x14ac:dyDescent="0.25">
      <c r="A155" s="19"/>
      <c r="B155" s="21"/>
      <c r="C155" s="21"/>
      <c r="D155" s="18"/>
      <c r="E155" s="17"/>
      <c r="F155" s="19"/>
      <c r="G155" s="23" t="str">
        <f>IF(A155="","",IF(E155="Concluída","Concluída",IF(D155&lt;DataRef,"Atrasada","No prazo")))</f>
        <v/>
      </c>
    </row>
    <row r="156" spans="1:7" x14ac:dyDescent="0.25">
      <c r="A156" s="19"/>
      <c r="B156" s="21"/>
      <c r="C156" s="21"/>
      <c r="D156" s="18"/>
      <c r="E156" s="17"/>
      <c r="F156" s="19"/>
      <c r="G156" s="23" t="str">
        <f>IF(A156="","",IF(E156="Concluída","Concluída",IF(D156&lt;DataRef,"Atrasada","No prazo")))</f>
        <v/>
      </c>
    </row>
    <row r="157" spans="1:7" x14ac:dyDescent="0.25">
      <c r="A157" s="19"/>
      <c r="B157" s="21"/>
      <c r="C157" s="21"/>
      <c r="D157" s="18"/>
      <c r="E157" s="17"/>
      <c r="F157" s="19"/>
      <c r="G157" s="23" t="str">
        <f>IF(A157="","",IF(E157="Concluída","Concluída",IF(D157&lt;DataRef,"Atrasada","No prazo")))</f>
        <v/>
      </c>
    </row>
    <row r="158" spans="1:7" x14ac:dyDescent="0.25">
      <c r="A158" s="19"/>
      <c r="B158" s="21"/>
      <c r="C158" s="21"/>
      <c r="D158" s="18"/>
      <c r="E158" s="17"/>
      <c r="F158" s="19"/>
      <c r="G158" s="23" t="str">
        <f>IF(A158="","",IF(E158="Concluída","Concluída",IF(D158&lt;DataRef,"Atrasada","No prazo")))</f>
        <v/>
      </c>
    </row>
    <row r="159" spans="1:7" x14ac:dyDescent="0.25">
      <c r="A159" s="19"/>
      <c r="B159" s="21"/>
      <c r="C159" s="21"/>
      <c r="D159" s="18"/>
      <c r="E159" s="17"/>
      <c r="F159" s="19"/>
      <c r="G159" s="23" t="str">
        <f>IF(A159="","",IF(E159="Concluída","Concluída",IF(D159&lt;DataRef,"Atrasada","No prazo")))</f>
        <v/>
      </c>
    </row>
    <row r="160" spans="1:7" x14ac:dyDescent="0.25">
      <c r="A160" s="19"/>
      <c r="B160" s="21"/>
      <c r="C160" s="21"/>
      <c r="D160" s="18"/>
      <c r="E160" s="17"/>
      <c r="F160" s="19"/>
      <c r="G160" s="23" t="str">
        <f>IF(A160="","",IF(E160="Concluída","Concluída",IF(D160&lt;DataRef,"Atrasada","No prazo")))</f>
        <v/>
      </c>
    </row>
    <row r="161" spans="1:7" x14ac:dyDescent="0.25">
      <c r="A161" s="19"/>
      <c r="B161" s="21"/>
      <c r="C161" s="21"/>
      <c r="D161" s="18"/>
      <c r="E161" s="17"/>
      <c r="F161" s="19"/>
      <c r="G161" s="23" t="str">
        <f>IF(A161="","",IF(E161="Concluída","Concluída",IF(D161&lt;DataRef,"Atrasada","No prazo")))</f>
        <v/>
      </c>
    </row>
    <row r="162" spans="1:7" x14ac:dyDescent="0.25">
      <c r="A162" s="19"/>
      <c r="B162" s="21"/>
      <c r="C162" s="21"/>
      <c r="D162" s="18"/>
      <c r="E162" s="17"/>
      <c r="F162" s="19"/>
      <c r="G162" s="23" t="str">
        <f>IF(A162="","",IF(E162="Concluída","Concluída",IF(D162&lt;DataRef,"Atrasada","No prazo")))</f>
        <v/>
      </c>
    </row>
    <row r="163" spans="1:7" x14ac:dyDescent="0.25">
      <c r="A163" s="19"/>
      <c r="B163" s="21"/>
      <c r="C163" s="21"/>
      <c r="D163" s="18"/>
      <c r="E163" s="17"/>
      <c r="F163" s="19"/>
      <c r="G163" s="23" t="str">
        <f>IF(A163="","",IF(E163="Concluída","Concluída",IF(D163&lt;DataRef,"Atrasada","No prazo")))</f>
        <v/>
      </c>
    </row>
    <row r="164" spans="1:7" x14ac:dyDescent="0.25">
      <c r="A164" s="19"/>
      <c r="B164" s="21"/>
      <c r="C164" s="21"/>
      <c r="D164" s="18"/>
      <c r="E164" s="17"/>
      <c r="F164" s="19"/>
      <c r="G164" s="23" t="str">
        <f>IF(A164="","",IF(E164="Concluída","Concluída",IF(D164&lt;DataRef,"Atrasada","No prazo")))</f>
        <v/>
      </c>
    </row>
    <row r="165" spans="1:7" x14ac:dyDescent="0.25">
      <c r="A165" s="19"/>
      <c r="B165" s="21"/>
      <c r="C165" s="21"/>
      <c r="D165" s="18"/>
      <c r="E165" s="17"/>
      <c r="F165" s="19"/>
      <c r="G165" s="23" t="str">
        <f>IF(A165="","",IF(E165="Concluída","Concluída",IF(D165&lt;DataRef,"Atrasada","No prazo")))</f>
        <v/>
      </c>
    </row>
    <row r="166" spans="1:7" x14ac:dyDescent="0.25">
      <c r="A166" s="19"/>
      <c r="B166" s="21"/>
      <c r="C166" s="21"/>
      <c r="D166" s="18"/>
      <c r="E166" s="17"/>
      <c r="F166" s="19"/>
      <c r="G166" s="23" t="str">
        <f>IF(A166="","",IF(E166="Concluída","Concluída",IF(D166&lt;DataRef,"Atrasada","No prazo")))</f>
        <v/>
      </c>
    </row>
    <row r="167" spans="1:7" x14ac:dyDescent="0.25">
      <c r="A167" s="19"/>
      <c r="B167" s="21"/>
      <c r="C167" s="21"/>
      <c r="D167" s="18"/>
      <c r="E167" s="17"/>
      <c r="F167" s="19"/>
      <c r="G167" s="23" t="str">
        <f>IF(A167="","",IF(E167="Concluída","Concluída",IF(D167&lt;DataRef,"Atrasada","No prazo")))</f>
        <v/>
      </c>
    </row>
    <row r="168" spans="1:7" x14ac:dyDescent="0.25">
      <c r="A168" s="19"/>
      <c r="B168" s="21"/>
      <c r="C168" s="21"/>
      <c r="D168" s="18"/>
      <c r="E168" s="17"/>
      <c r="F168" s="19"/>
      <c r="G168" s="23" t="str">
        <f>IF(A168="","",IF(E168="Concluída","Concluída",IF(D168&lt;DataRef,"Atrasada","No prazo")))</f>
        <v/>
      </c>
    </row>
    <row r="169" spans="1:7" x14ac:dyDescent="0.25">
      <c r="A169" s="19"/>
      <c r="B169" s="21"/>
      <c r="C169" s="21"/>
      <c r="D169" s="18"/>
      <c r="E169" s="17"/>
      <c r="F169" s="19"/>
      <c r="G169" s="23" t="str">
        <f>IF(A169="","",IF(E169="Concluída","Concluída",IF(D169&lt;DataRef,"Atrasada","No prazo")))</f>
        <v/>
      </c>
    </row>
    <row r="170" spans="1:7" x14ac:dyDescent="0.25">
      <c r="A170" s="19"/>
      <c r="B170" s="21"/>
      <c r="C170" s="21"/>
      <c r="D170" s="18"/>
      <c r="E170" s="17"/>
      <c r="F170" s="19"/>
      <c r="G170" s="23" t="str">
        <f>IF(A170="","",IF(E170="Concluída","Concluída",IF(D170&lt;DataRef,"Atrasada","No prazo")))</f>
        <v/>
      </c>
    </row>
    <row r="171" spans="1:7" x14ac:dyDescent="0.25">
      <c r="A171" s="19"/>
      <c r="B171" s="21"/>
      <c r="C171" s="21"/>
      <c r="D171" s="18"/>
      <c r="E171" s="17"/>
      <c r="F171" s="19"/>
      <c r="G171" s="23" t="str">
        <f>IF(A171="","",IF(E171="Concluída","Concluída",IF(D171&lt;DataRef,"Atrasada","No prazo")))</f>
        <v/>
      </c>
    </row>
    <row r="172" spans="1:7" x14ac:dyDescent="0.25">
      <c r="A172" s="19"/>
      <c r="B172" s="21"/>
      <c r="C172" s="21"/>
      <c r="D172" s="18"/>
      <c r="E172" s="17"/>
      <c r="F172" s="19"/>
      <c r="G172" s="23" t="str">
        <f>IF(A172="","",IF(E172="Concluída","Concluída",IF(D172&lt;DataRef,"Atrasada","No prazo")))</f>
        <v/>
      </c>
    </row>
    <row r="173" spans="1:7" x14ac:dyDescent="0.25">
      <c r="A173" s="19"/>
      <c r="B173" s="21"/>
      <c r="C173" s="21"/>
      <c r="D173" s="18"/>
      <c r="E173" s="17"/>
      <c r="F173" s="19"/>
      <c r="G173" s="23" t="str">
        <f>IF(A173="","",IF(E173="Concluída","Concluída",IF(D173&lt;DataRef,"Atrasada","No prazo")))</f>
        <v/>
      </c>
    </row>
    <row r="174" spans="1:7" x14ac:dyDescent="0.25">
      <c r="A174" s="19"/>
      <c r="B174" s="21"/>
      <c r="C174" s="21"/>
      <c r="D174" s="18"/>
      <c r="E174" s="17"/>
      <c r="F174" s="19"/>
      <c r="G174" s="23" t="str">
        <f>IF(A174="","",IF(E174="Concluída","Concluída",IF(D174&lt;DataRef,"Atrasada","No prazo")))</f>
        <v/>
      </c>
    </row>
    <row r="175" spans="1:7" x14ac:dyDescent="0.25">
      <c r="A175" s="19"/>
      <c r="B175" s="21"/>
      <c r="C175" s="21"/>
      <c r="D175" s="18"/>
      <c r="E175" s="17"/>
      <c r="F175" s="19"/>
      <c r="G175" s="23" t="str">
        <f>IF(A175="","",IF(E175="Concluída","Concluída",IF(D175&lt;DataRef,"Atrasada","No prazo")))</f>
        <v/>
      </c>
    </row>
    <row r="176" spans="1:7" x14ac:dyDescent="0.25">
      <c r="A176" s="19"/>
      <c r="B176" s="21"/>
      <c r="C176" s="21"/>
      <c r="D176" s="18"/>
      <c r="E176" s="17"/>
      <c r="F176" s="19"/>
      <c r="G176" s="23" t="str">
        <f>IF(A176="","",IF(E176="Concluída","Concluída",IF(D176&lt;DataRef,"Atrasada","No prazo")))</f>
        <v/>
      </c>
    </row>
    <row r="177" spans="1:7" x14ac:dyDescent="0.25">
      <c r="A177" s="19"/>
      <c r="B177" s="21"/>
      <c r="C177" s="21"/>
      <c r="D177" s="18"/>
      <c r="E177" s="17"/>
      <c r="F177" s="19"/>
      <c r="G177" s="23" t="str">
        <f>IF(A177="","",IF(E177="Concluída","Concluída",IF(D177&lt;DataRef,"Atrasada","No prazo")))</f>
        <v/>
      </c>
    </row>
    <row r="178" spans="1:7" x14ac:dyDescent="0.25">
      <c r="A178" s="19"/>
      <c r="B178" s="21"/>
      <c r="C178" s="21"/>
      <c r="D178" s="18"/>
      <c r="E178" s="17"/>
      <c r="F178" s="19"/>
      <c r="G178" s="23" t="str">
        <f>IF(A178="","",IF(E178="Concluída","Concluída",IF(D178&lt;DataRef,"Atrasada","No prazo")))</f>
        <v/>
      </c>
    </row>
    <row r="179" spans="1:7" x14ac:dyDescent="0.25">
      <c r="A179" s="19"/>
      <c r="B179" s="21"/>
      <c r="C179" s="21"/>
      <c r="D179" s="18"/>
      <c r="E179" s="17"/>
      <c r="F179" s="19"/>
      <c r="G179" s="23" t="str">
        <f>IF(A179="","",IF(E179="Concluída","Concluída",IF(D179&lt;DataRef,"Atrasada","No prazo")))</f>
        <v/>
      </c>
    </row>
    <row r="180" spans="1:7" x14ac:dyDescent="0.25">
      <c r="A180" s="19"/>
      <c r="B180" s="21"/>
      <c r="C180" s="21"/>
      <c r="D180" s="18"/>
      <c r="E180" s="17"/>
      <c r="F180" s="19"/>
      <c r="G180" s="23" t="str">
        <f>IF(A180="","",IF(E180="Concluída","Concluída",IF(D180&lt;DataRef,"Atrasada","No prazo")))</f>
        <v/>
      </c>
    </row>
    <row r="181" spans="1:7" x14ac:dyDescent="0.25">
      <c r="A181" s="19"/>
      <c r="B181" s="21"/>
      <c r="C181" s="21"/>
      <c r="D181" s="18"/>
      <c r="E181" s="17"/>
      <c r="F181" s="19"/>
      <c r="G181" s="23" t="str">
        <f>IF(A181="","",IF(E181="Concluída","Concluída",IF(D181&lt;DataRef,"Atrasada","No prazo")))</f>
        <v/>
      </c>
    </row>
    <row r="182" spans="1:7" x14ac:dyDescent="0.25">
      <c r="A182" s="19"/>
      <c r="B182" s="21"/>
      <c r="C182" s="21"/>
      <c r="D182" s="18"/>
      <c r="E182" s="17"/>
      <c r="F182" s="19"/>
      <c r="G182" s="23" t="str">
        <f>IF(A182="","",IF(E182="Concluída","Concluída",IF(D182&lt;DataRef,"Atrasada","No prazo")))</f>
        <v/>
      </c>
    </row>
    <row r="183" spans="1:7" x14ac:dyDescent="0.25">
      <c r="A183" s="19"/>
      <c r="B183" s="21"/>
      <c r="C183" s="21"/>
      <c r="D183" s="18"/>
      <c r="E183" s="17"/>
      <c r="F183" s="19"/>
      <c r="G183" s="23" t="str">
        <f>IF(A183="","",IF(E183="Concluída","Concluída",IF(D183&lt;DataRef,"Atrasada","No prazo")))</f>
        <v/>
      </c>
    </row>
    <row r="184" spans="1:7" x14ac:dyDescent="0.25">
      <c r="A184" s="19"/>
      <c r="B184" s="21"/>
      <c r="C184" s="21"/>
      <c r="D184" s="18"/>
      <c r="E184" s="17"/>
      <c r="F184" s="19"/>
      <c r="G184" s="23" t="str">
        <f>IF(A184="","",IF(E184="Concluída","Concluída",IF(D184&lt;DataRef,"Atrasada","No prazo")))</f>
        <v/>
      </c>
    </row>
    <row r="185" spans="1:7" x14ac:dyDescent="0.25">
      <c r="A185" s="19"/>
      <c r="B185" s="21"/>
      <c r="C185" s="21"/>
      <c r="D185" s="18"/>
      <c r="E185" s="17"/>
      <c r="F185" s="19"/>
      <c r="G185" s="23" t="str">
        <f>IF(A185="","",IF(E185="Concluída","Concluída",IF(D185&lt;DataRef,"Atrasada","No prazo")))</f>
        <v/>
      </c>
    </row>
    <row r="186" spans="1:7" x14ac:dyDescent="0.25">
      <c r="A186" s="19"/>
      <c r="B186" s="21"/>
      <c r="C186" s="21"/>
      <c r="D186" s="18"/>
      <c r="E186" s="17"/>
      <c r="F186" s="19"/>
      <c r="G186" s="23" t="str">
        <f>IF(A186="","",IF(E186="Concluída","Concluída",IF(D186&lt;DataRef,"Atrasada","No prazo")))</f>
        <v/>
      </c>
    </row>
    <row r="187" spans="1:7" x14ac:dyDescent="0.25">
      <c r="A187" s="19"/>
      <c r="B187" s="21"/>
      <c r="C187" s="21"/>
      <c r="D187" s="18"/>
      <c r="E187" s="17"/>
      <c r="F187" s="19"/>
      <c r="G187" s="23" t="str">
        <f>IF(A187="","",IF(E187="Concluída","Concluída",IF(D187&lt;DataRef,"Atrasada","No prazo")))</f>
        <v/>
      </c>
    </row>
    <row r="188" spans="1:7" x14ac:dyDescent="0.25">
      <c r="A188" s="19"/>
      <c r="B188" s="21"/>
      <c r="C188" s="21"/>
      <c r="D188" s="18"/>
      <c r="E188" s="17"/>
      <c r="F188" s="19"/>
      <c r="G188" s="23" t="str">
        <f>IF(A188="","",IF(E188="Concluída","Concluída",IF(D188&lt;DataRef,"Atrasada","No prazo")))</f>
        <v/>
      </c>
    </row>
    <row r="189" spans="1:7" x14ac:dyDescent="0.25">
      <c r="A189" s="19"/>
      <c r="B189" s="21"/>
      <c r="C189" s="21"/>
      <c r="D189" s="18"/>
      <c r="E189" s="17"/>
      <c r="F189" s="19"/>
      <c r="G189" s="23" t="str">
        <f>IF(A189="","",IF(E189="Concluída","Concluída",IF(D189&lt;DataRef,"Atrasada","No prazo")))</f>
        <v/>
      </c>
    </row>
    <row r="190" spans="1:7" x14ac:dyDescent="0.25">
      <c r="A190" s="19"/>
      <c r="B190" s="21"/>
      <c r="C190" s="21"/>
      <c r="D190" s="18"/>
      <c r="E190" s="17"/>
      <c r="F190" s="19"/>
      <c r="G190" s="23" t="str">
        <f>IF(A190="","",IF(E190="Concluída","Concluída",IF(D190&lt;DataRef,"Atrasada","No prazo")))</f>
        <v/>
      </c>
    </row>
    <row r="191" spans="1:7" x14ac:dyDescent="0.25">
      <c r="A191" s="19"/>
      <c r="B191" s="21"/>
      <c r="C191" s="21"/>
      <c r="D191" s="18"/>
      <c r="E191" s="17"/>
      <c r="F191" s="19"/>
      <c r="G191" s="23" t="str">
        <f>IF(A191="","",IF(E191="Concluída","Concluída",IF(D191&lt;DataRef,"Atrasada","No prazo")))</f>
        <v/>
      </c>
    </row>
    <row r="192" spans="1:7" x14ac:dyDescent="0.25">
      <c r="A192" s="19"/>
      <c r="B192" s="21"/>
      <c r="C192" s="21"/>
      <c r="D192" s="18"/>
      <c r="E192" s="17"/>
      <c r="F192" s="19"/>
      <c r="G192" s="23" t="str">
        <f>IF(A192="","",IF(E192="Concluída","Concluída",IF(D192&lt;DataRef,"Atrasada","No prazo")))</f>
        <v/>
      </c>
    </row>
    <row r="193" spans="1:7" x14ac:dyDescent="0.25">
      <c r="A193" s="19"/>
      <c r="B193" s="21"/>
      <c r="C193" s="21"/>
      <c r="D193" s="18"/>
      <c r="E193" s="17"/>
      <c r="F193" s="19"/>
      <c r="G193" s="23" t="str">
        <f>IF(A193="","",IF(E193="Concluída","Concluída",IF(D193&lt;DataRef,"Atrasada","No prazo")))</f>
        <v/>
      </c>
    </row>
    <row r="194" spans="1:7" x14ac:dyDescent="0.25">
      <c r="A194" s="19"/>
      <c r="B194" s="21"/>
      <c r="C194" s="21"/>
      <c r="D194" s="18"/>
      <c r="E194" s="17"/>
      <c r="F194" s="19"/>
      <c r="G194" s="23" t="str">
        <f>IF(A194="","",IF(E194="Concluída","Concluída",IF(D194&lt;DataRef,"Atrasada","No prazo")))</f>
        <v/>
      </c>
    </row>
    <row r="195" spans="1:7" x14ac:dyDescent="0.25">
      <c r="A195" s="19"/>
      <c r="B195" s="21"/>
      <c r="C195" s="21"/>
      <c r="D195" s="18"/>
      <c r="E195" s="17"/>
      <c r="F195" s="19"/>
      <c r="G195" s="23" t="str">
        <f>IF(A195="","",IF(E195="Concluída","Concluída",IF(D195&lt;DataRef,"Atrasada","No prazo")))</f>
        <v/>
      </c>
    </row>
    <row r="196" spans="1:7" x14ac:dyDescent="0.25">
      <c r="A196" s="19"/>
      <c r="B196" s="21"/>
      <c r="C196" s="21"/>
      <c r="D196" s="18"/>
      <c r="E196" s="17"/>
      <c r="F196" s="19"/>
      <c r="G196" s="23" t="str">
        <f>IF(A196="","",IF(E196="Concluída","Concluída",IF(D196&lt;DataRef,"Atrasada","No prazo")))</f>
        <v/>
      </c>
    </row>
    <row r="197" spans="1:7" x14ac:dyDescent="0.25">
      <c r="A197" s="19"/>
      <c r="B197" s="21"/>
      <c r="C197" s="21"/>
      <c r="D197" s="18"/>
      <c r="E197" s="17"/>
      <c r="F197" s="19"/>
      <c r="G197" s="23" t="str">
        <f>IF(A197="","",IF(E197="Concluída","Concluída",IF(D197&lt;DataRef,"Atrasada","No prazo")))</f>
        <v/>
      </c>
    </row>
    <row r="198" spans="1:7" x14ac:dyDescent="0.25">
      <c r="A198" s="19"/>
      <c r="B198" s="21"/>
      <c r="C198" s="21"/>
      <c r="D198" s="18"/>
      <c r="E198" s="17"/>
      <c r="F198" s="19"/>
      <c r="G198" s="23" t="str">
        <f>IF(A198="","",IF(E198="Concluída","Concluída",IF(D198&lt;DataRef,"Atrasada","No prazo")))</f>
        <v/>
      </c>
    </row>
    <row r="199" spans="1:7" x14ac:dyDescent="0.25">
      <c r="A199" s="19"/>
      <c r="B199" s="21"/>
      <c r="C199" s="21"/>
      <c r="D199" s="18"/>
      <c r="E199" s="17"/>
      <c r="F199" s="19"/>
      <c r="G199" s="23" t="str">
        <f>IF(A199="","",IF(E199="Concluída","Concluída",IF(D199&lt;DataRef,"Atrasada","No prazo")))</f>
        <v/>
      </c>
    </row>
    <row r="200" spans="1:7" x14ac:dyDescent="0.25">
      <c r="A200" s="19"/>
      <c r="B200" s="21"/>
      <c r="C200" s="21"/>
      <c r="D200" s="18"/>
      <c r="E200" s="17"/>
      <c r="F200" s="19"/>
      <c r="G200" s="23" t="str">
        <f>IF(A200="","",IF(E200="Concluída","Concluída",IF(D200&lt;DataRef,"Atrasada","No prazo")))</f>
        <v/>
      </c>
    </row>
    <row r="201" spans="1:7" x14ac:dyDescent="0.25">
      <c r="A201" s="19"/>
      <c r="B201" s="21"/>
      <c r="C201" s="21"/>
      <c r="D201" s="18"/>
      <c r="E201" s="17"/>
      <c r="F201" s="19"/>
      <c r="G201" s="23" t="str">
        <f>IF(A201="","",IF(E201="Concluída","Concluída",IF(D201&lt;DataRef,"Atrasada","No prazo")))</f>
        <v/>
      </c>
    </row>
    <row r="202" spans="1:7" x14ac:dyDescent="0.25">
      <c r="A202" s="19"/>
      <c r="B202" s="21"/>
      <c r="C202" s="21"/>
      <c r="D202" s="18"/>
      <c r="E202" s="17"/>
      <c r="F202" s="19"/>
      <c r="G202" s="23" t="str">
        <f>IF(A202="","",IF(E202="Concluída","Concluída",IF(D202&lt;DataRef,"Atrasada","No prazo")))</f>
        <v/>
      </c>
    </row>
    <row r="203" spans="1:7" x14ac:dyDescent="0.25">
      <c r="A203" s="19"/>
      <c r="B203" s="21"/>
      <c r="C203" s="21"/>
      <c r="D203" s="18"/>
      <c r="E203" s="17"/>
      <c r="F203" s="19"/>
      <c r="G203" s="23" t="str">
        <f>IF(A203="","",IF(E203="Concluída","Concluída",IF(D203&lt;DataRef,"Atrasada","No prazo")))</f>
        <v/>
      </c>
    </row>
    <row r="204" spans="1:7" x14ac:dyDescent="0.25">
      <c r="A204" s="19"/>
      <c r="B204" s="21"/>
      <c r="C204" s="21"/>
      <c r="D204" s="18"/>
      <c r="E204" s="17"/>
      <c r="F204" s="19"/>
      <c r="G204" s="23" t="str">
        <f>IF(A204="","",IF(E204="Concluída","Concluída",IF(D204&lt;DataRef,"Atrasada","No prazo")))</f>
        <v/>
      </c>
    </row>
  </sheetData>
  <autoFilter ref="A4:G4"/>
  <mergeCells count="2">
    <mergeCell ref="A1:G1"/>
    <mergeCell ref="A2:G2"/>
  </mergeCells>
  <conditionalFormatting sqref="G5:G204">
    <cfRule type="cellIs" dxfId="10" priority="1" operator="equal">
      <formula>"Atrasada"</formula>
    </cfRule>
    <cfRule type="cellIs" dxfId="11" priority="2" operator="equal">
      <formula>"Concluída"</formula>
    </cfRule>
    <cfRule type="cellIs" dxfId="12" priority="3" operator="equal">
      <formula>"No prazo"</formula>
    </cfRule>
  </conditionalFormatting>
  <dataValidations count="3">
    <dataValidation type="list" allowBlank="1" showErrorMessage="1" errorTitle="Frente" error="Escolha uma frente da aba Frentes." sqref="B5:B204">
      <formula1>Frentes!$A$5:$A$64</formula1>
    </dataValidation>
    <dataValidation type="date" operator="greaterThan" allowBlank="1" showErrorMessage="1" errorTitle="Data" error="Digite uma data válida (dd/mm/aaaa)." sqref="D5:D204">
      <formula1>25569.00042275463</formula1>
    </dataValidation>
    <dataValidation type="list" allowBlank="1" showErrorMessage="1" errorTitle="Status" error="Use Em andamento ou Concluída." sqref="E5:E204">
      <formula1>Listas!$C$5:$C$6</formula1>
    </dataValidation>
  </dataValidation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5F6B"/>
  </sheetPr>
  <dimension ref="A1:E99"/>
  <sheetViews>
    <sheetView workbookViewId="0" showGridLines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6" customWidth="1"/>
    <col min="3" max="3" width="18" customWidth="1"/>
    <col min="4" max="5" width="14" customWidth="1"/>
  </cols>
  <sheetData>
    <row r="1" ht="26" customHeight="1" spans="1:5" x14ac:dyDescent="0.25">
      <c r="A1" s="13" t="s">
        <v>237</v>
      </c>
      <c r="B1" s="13"/>
      <c r="C1" s="13"/>
      <c r="D1" s="13"/>
      <c r="E1" s="13"/>
    </row>
    <row r="2" ht="32" customHeight="1" spans="1:5" x14ac:dyDescent="0.25">
      <c r="A2" s="2" t="s">
        <v>238</v>
      </c>
      <c r="B2" s="2"/>
      <c r="C2" s="2"/>
      <c r="D2" s="2"/>
      <c r="E2" s="2"/>
    </row>
    <row r="3" ht="6" customHeight="1" x14ac:dyDescent="0.25"/>
    <row r="4" ht="18" customHeight="1" spans="1:2" x14ac:dyDescent="0.25">
      <c r="A4" s="25" t="s">
        <v>239</v>
      </c>
      <c r="B4" s="26">
        <v>46303</v>
      </c>
    </row>
    <row r="5" spans="1:2" x14ac:dyDescent="0.25">
      <c r="A5" s="25" t="s">
        <v>240</v>
      </c>
      <c r="B5" s="26">
        <v>47105</v>
      </c>
    </row>
    <row r="6" spans="1:2" x14ac:dyDescent="0.25">
      <c r="A6" s="25" t="s">
        <v>241</v>
      </c>
      <c r="B6" s="26">
        <v>47105</v>
      </c>
    </row>
    <row r="7" spans="1:2" x14ac:dyDescent="0.25">
      <c r="A7" s="25" t="s">
        <v>242</v>
      </c>
      <c r="B7" s="27">
        <v>1262</v>
      </c>
    </row>
    <row r="8" spans="1:2" x14ac:dyDescent="0.25">
      <c r="A8" s="25" t="s">
        <v>243</v>
      </c>
      <c r="B8" s="27">
        <v>171</v>
      </c>
    </row>
    <row r="9" spans="1:2" x14ac:dyDescent="0.25">
      <c r="A9" s="25" t="s">
        <v>244</v>
      </c>
      <c r="B9" s="27">
        <v>1231</v>
      </c>
    </row>
    <row r="10" spans="1:2" x14ac:dyDescent="0.25">
      <c r="A10" s="25" t="s">
        <v>245</v>
      </c>
      <c r="B10" s="27">
        <v>14</v>
      </c>
    </row>
    <row r="13" ht="30" customHeight="1" spans="1:4" x14ac:dyDescent="0.25">
      <c r="A13" s="28" t="s">
        <v>246</v>
      </c>
      <c r="B13" s="28" t="s">
        <v>247</v>
      </c>
      <c r="C13" s="28" t="s">
        <v>248</v>
      </c>
      <c r="D13" s="28" t="s">
        <v>249</v>
      </c>
    </row>
    <row r="14" spans="1:4" x14ac:dyDescent="0.25">
      <c r="A14" s="29">
        <v>44501</v>
      </c>
      <c r="B14" s="30">
        <v>0.0012799617744249764</v>
      </c>
      <c r="C14" s="30">
        <v>0.0012578288977603792</v>
      </c>
      <c r="D14" s="30">
        <v>0.0012578288977603792</v>
      </c>
    </row>
    <row r="15" spans="1:4" x14ac:dyDescent="0.25">
      <c r="A15" s="29">
        <v>44531</v>
      </c>
      <c r="B15" s="30">
        <v>0.004091553994763873</v>
      </c>
      <c r="C15" s="30">
        <v>0.003991575421996338</v>
      </c>
      <c r="D15" s="30">
        <v>0.003991575421996338</v>
      </c>
    </row>
    <row r="16" spans="1:4" x14ac:dyDescent="0.25">
      <c r="A16" s="29">
        <v>44562</v>
      </c>
      <c r="B16" s="30">
        <v>0.0056476864776895406</v>
      </c>
      <c r="C16" s="30">
        <v>0.005624810823340215</v>
      </c>
      <c r="D16" s="30">
        <v>0.005624810823340215</v>
      </c>
    </row>
    <row r="17" spans="1:4" x14ac:dyDescent="0.25">
      <c r="A17" s="29">
        <v>44593</v>
      </c>
      <c r="B17" s="30">
        <v>0.008593864210533165</v>
      </c>
      <c r="C17" s="30">
        <v>0.008444233140713566</v>
      </c>
      <c r="D17" s="30">
        <v>0.008444233140713566</v>
      </c>
    </row>
    <row r="18" spans="1:4" x14ac:dyDescent="0.25">
      <c r="A18" s="29">
        <v>44621</v>
      </c>
      <c r="B18" s="30">
        <v>0.011588960909754057</v>
      </c>
      <c r="C18" s="30">
        <v>0.011554592553050101</v>
      </c>
      <c r="D18" s="30">
        <v>0.011554592553050101</v>
      </c>
    </row>
    <row r="19" spans="1:4" x14ac:dyDescent="0.25">
      <c r="A19" s="29">
        <v>44652</v>
      </c>
      <c r="B19" s="30">
        <v>0.013539106654611131</v>
      </c>
      <c r="C19" s="30">
        <v>0.013531031648233844</v>
      </c>
      <c r="D19" s="30">
        <v>0.013531031648233844</v>
      </c>
    </row>
    <row r="20" spans="1:4" x14ac:dyDescent="0.25">
      <c r="A20" s="29">
        <v>44682</v>
      </c>
      <c r="B20" s="30">
        <v>0.017168985499652772</v>
      </c>
      <c r="C20" s="30">
        <v>0.01709846103493063</v>
      </c>
      <c r="D20" s="30">
        <v>0.01709846103493063</v>
      </c>
    </row>
    <row r="21" spans="1:4" x14ac:dyDescent="0.25">
      <c r="A21" s="29">
        <v>44713</v>
      </c>
      <c r="B21" s="30">
        <v>0.021538647544291415</v>
      </c>
      <c r="C21" s="30">
        <v>0.021482047920874048</v>
      </c>
      <c r="D21" s="30">
        <v>0.021482047920874048</v>
      </c>
    </row>
    <row r="22" spans="1:4" x14ac:dyDescent="0.25">
      <c r="A22" s="29">
        <v>44743</v>
      </c>
      <c r="B22" s="30">
        <v>0.025859618575986922</v>
      </c>
      <c r="C22" s="30">
        <v>0.02572232548801635</v>
      </c>
      <c r="D22" s="30">
        <v>0.02572232548801635</v>
      </c>
    </row>
    <row r="23" spans="1:4" x14ac:dyDescent="0.25">
      <c r="A23" s="29">
        <v>44774</v>
      </c>
      <c r="B23" s="30">
        <v>0.029393551811402505</v>
      </c>
      <c r="C23" s="30">
        <v>0.02932049863839169</v>
      </c>
      <c r="D23" s="30">
        <v>0.02932049863839169</v>
      </c>
    </row>
    <row r="24" spans="1:4" x14ac:dyDescent="0.25">
      <c r="A24" s="29">
        <v>44805</v>
      </c>
      <c r="B24" s="30">
        <v>0.03278270029755579</v>
      </c>
      <c r="C24" s="30">
        <v>0.032737354960562015</v>
      </c>
      <c r="D24" s="30">
        <v>0.032737354960562015</v>
      </c>
    </row>
    <row r="25" spans="1:4" x14ac:dyDescent="0.25">
      <c r="A25" s="29">
        <v>44835</v>
      </c>
      <c r="B25" s="30">
        <v>0.036147602180158944</v>
      </c>
      <c r="C25" s="30">
        <v>0.036138991268270866</v>
      </c>
      <c r="D25" s="30">
        <v>0.036138991268270866</v>
      </c>
    </row>
    <row r="26" spans="1:4" x14ac:dyDescent="0.25">
      <c r="A26" s="29">
        <v>44866</v>
      </c>
      <c r="B26" s="30">
        <v>0.040712259483537384</v>
      </c>
      <c r="C26" s="30">
        <v>0.04064196978201918</v>
      </c>
      <c r="D26" s="30">
        <v>0.04064196978201918</v>
      </c>
    </row>
    <row r="27" spans="1:4" x14ac:dyDescent="0.25">
      <c r="A27" s="29">
        <v>44896</v>
      </c>
      <c r="B27" s="30">
        <v>0.046291938889904134</v>
      </c>
      <c r="C27" s="30">
        <v>0.046222805754175054</v>
      </c>
      <c r="D27" s="30">
        <v>0.046222805754175054</v>
      </c>
    </row>
    <row r="28" spans="1:4" x14ac:dyDescent="0.25">
      <c r="A28" s="29">
        <v>44927</v>
      </c>
      <c r="B28" s="30">
        <v>0.049800997260952114</v>
      </c>
      <c r="C28" s="30">
        <v>0.04976758311058341</v>
      </c>
      <c r="D28" s="30">
        <v>0.04976758311058341</v>
      </c>
    </row>
    <row r="29" spans="1:4" x14ac:dyDescent="0.25">
      <c r="A29" s="29">
        <v>44958</v>
      </c>
      <c r="B29" s="30">
        <v>0.05231382649368535</v>
      </c>
      <c r="C29" s="30">
        <v>0.052271483195232935</v>
      </c>
      <c r="D29" s="30">
        <v>0.052271483195232935</v>
      </c>
    </row>
    <row r="30" spans="1:4" x14ac:dyDescent="0.25">
      <c r="A30" s="29">
        <v>44986</v>
      </c>
      <c r="B30" s="30">
        <v>0.05521340038893057</v>
      </c>
      <c r="C30" s="30">
        <v>0.05516116964736104</v>
      </c>
      <c r="D30" s="30">
        <v>0.05516116964736104</v>
      </c>
    </row>
    <row r="31" spans="1:4" x14ac:dyDescent="0.25">
      <c r="A31" s="29">
        <v>45017</v>
      </c>
      <c r="B31" s="30">
        <v>0.05774287504756864</v>
      </c>
      <c r="C31" s="30">
        <v>0.05768161260303496</v>
      </c>
      <c r="D31" s="30">
        <v>0.05768161260303496</v>
      </c>
    </row>
    <row r="32" spans="1:4" x14ac:dyDescent="0.25">
      <c r="A32" s="29">
        <v>45047</v>
      </c>
      <c r="B32" s="30">
        <v>0.06066078859447643</v>
      </c>
      <c r="C32" s="30">
        <v>0.0605895304954001</v>
      </c>
      <c r="D32" s="30">
        <v>0.0605895304954001</v>
      </c>
    </row>
    <row r="33" spans="1:4" x14ac:dyDescent="0.25">
      <c r="A33" s="29">
        <v>45078</v>
      </c>
      <c r="B33" s="30">
        <v>0.06346015299233847</v>
      </c>
      <c r="C33" s="30">
        <v>0.0633797509219074</v>
      </c>
      <c r="D33" s="30">
        <v>0.0633797509219074</v>
      </c>
    </row>
    <row r="34" spans="1:4" x14ac:dyDescent="0.25">
      <c r="A34" s="29">
        <v>45108</v>
      </c>
      <c r="B34" s="30">
        <v>0.07746334341466189</v>
      </c>
      <c r="C34" s="30">
        <v>0.0772687578695413</v>
      </c>
      <c r="D34" s="30">
        <v>0.0772687578695413</v>
      </c>
    </row>
    <row r="35" spans="1:4" x14ac:dyDescent="0.25">
      <c r="A35" s="29">
        <v>45139</v>
      </c>
      <c r="B35" s="30">
        <v>0.09423632711941421</v>
      </c>
      <c r="C35" s="30">
        <v>0.09377891460205987</v>
      </c>
      <c r="D35" s="30">
        <v>0.09377891460205987</v>
      </c>
    </row>
    <row r="36" spans="1:4" x14ac:dyDescent="0.25">
      <c r="A36" s="29">
        <v>45170</v>
      </c>
      <c r="B36" s="30">
        <v>0.1089961694143645</v>
      </c>
      <c r="C36" s="30">
        <v>0.10883142556836009</v>
      </c>
      <c r="D36" s="30">
        <v>0.10883142556836009</v>
      </c>
    </row>
    <row r="37" spans="1:4" x14ac:dyDescent="0.25">
      <c r="A37" s="29">
        <v>45200</v>
      </c>
      <c r="B37" s="30">
        <v>0.1265764156701269</v>
      </c>
      <c r="C37" s="30">
        <v>0.12613062858557877</v>
      </c>
      <c r="D37" s="30">
        <v>0.12613062858557877</v>
      </c>
    </row>
    <row r="38" spans="1:4" x14ac:dyDescent="0.25">
      <c r="A38" s="29">
        <v>45231</v>
      </c>
      <c r="B38" s="30">
        <v>0.1468604523404745</v>
      </c>
      <c r="C38" s="30">
        <v>0.14659431514533658</v>
      </c>
      <c r="D38" s="30">
        <v>0.14659431514533658</v>
      </c>
    </row>
    <row r="39" spans="1:4" x14ac:dyDescent="0.25">
      <c r="A39" s="29">
        <v>45261</v>
      </c>
      <c r="B39" s="30">
        <v>0.16898777311856936</v>
      </c>
      <c r="C39" s="30">
        <v>0.16855346500955043</v>
      </c>
      <c r="D39" s="30">
        <v>0.16855346500955043</v>
      </c>
    </row>
    <row r="40" spans="1:4" x14ac:dyDescent="0.25">
      <c r="A40" s="29">
        <v>45292</v>
      </c>
      <c r="B40" s="30">
        <v>0.19080076474120172</v>
      </c>
      <c r="C40" s="30">
        <v>0.19056554840046355</v>
      </c>
      <c r="D40" s="30">
        <v>0.19056554840046355</v>
      </c>
    </row>
    <row r="41" spans="1:4" x14ac:dyDescent="0.25">
      <c r="A41" s="29">
        <v>45323</v>
      </c>
      <c r="B41" s="30">
        <v>0.20902393008710818</v>
      </c>
      <c r="C41" s="30">
        <v>0.20863374968685652</v>
      </c>
      <c r="D41" s="30">
        <v>0.20863374968685652</v>
      </c>
    </row>
    <row r="42" spans="1:4" x14ac:dyDescent="0.25">
      <c r="A42" s="29">
        <v>45352</v>
      </c>
      <c r="B42" s="30">
        <v>0.2275382201156075</v>
      </c>
      <c r="C42" s="30">
        <v>0.2275071409070351</v>
      </c>
      <c r="D42" s="30">
        <v>0.2275071409070351</v>
      </c>
    </row>
    <row r="43" spans="1:4" x14ac:dyDescent="0.25">
      <c r="A43" s="29">
        <v>45383</v>
      </c>
      <c r="B43" s="30">
        <v>0.24600916353790445</v>
      </c>
      <c r="C43" s="30">
        <v>0.2457836677553472</v>
      </c>
      <c r="D43" s="30">
        <v>0.2457836677553472</v>
      </c>
    </row>
    <row r="44" spans="1:4" x14ac:dyDescent="0.25">
      <c r="A44" s="29">
        <v>45413</v>
      </c>
      <c r="B44" s="30">
        <v>0.2657593545713365</v>
      </c>
      <c r="C44" s="30">
        <v>0.2652756785632403</v>
      </c>
      <c r="D44" s="30">
        <v>0.2652756785632403</v>
      </c>
    </row>
    <row r="45" spans="1:4" x14ac:dyDescent="0.25">
      <c r="A45" s="29">
        <v>45444</v>
      </c>
      <c r="B45" s="30">
        <v>0.2854651532326615</v>
      </c>
      <c r="C45" s="30">
        <v>0.2851714103196281</v>
      </c>
      <c r="D45" s="30">
        <v>0.2851714103196281</v>
      </c>
    </row>
    <row r="46" spans="1:4" x14ac:dyDescent="0.25">
      <c r="A46" s="29">
        <v>45474</v>
      </c>
      <c r="B46" s="30">
        <v>0.30948897365804673</v>
      </c>
      <c r="C46" s="30">
        <v>0.30944636204256754</v>
      </c>
      <c r="D46" s="30">
        <v>0.30944636204256754</v>
      </c>
    </row>
    <row r="47" spans="1:4" x14ac:dyDescent="0.25">
      <c r="A47" s="29">
        <v>45505</v>
      </c>
      <c r="B47" s="30">
        <v>0.3296128720601396</v>
      </c>
      <c r="C47" s="30">
        <v>0.32954918831892277</v>
      </c>
      <c r="D47" s="30">
        <v>0.32954918831892277</v>
      </c>
    </row>
    <row r="48" spans="1:4" x14ac:dyDescent="0.25">
      <c r="A48" s="29">
        <v>45536</v>
      </c>
      <c r="B48" s="30">
        <v>0.3486318997304048</v>
      </c>
      <c r="C48" s="30">
        <v>0.34851604908801614</v>
      </c>
      <c r="D48" s="30">
        <v>0.34851604908801614</v>
      </c>
    </row>
    <row r="49" spans="1:4" x14ac:dyDescent="0.25">
      <c r="A49" s="29">
        <v>45566</v>
      </c>
      <c r="B49" s="30">
        <v>0.3693809912910185</v>
      </c>
      <c r="C49" s="30">
        <v>0.369320841149055</v>
      </c>
      <c r="D49" s="30">
        <v>0.369320841149055</v>
      </c>
    </row>
    <row r="50" spans="1:4" x14ac:dyDescent="0.25">
      <c r="A50" s="29">
        <v>45597</v>
      </c>
      <c r="B50" s="30">
        <v>0.3868401487509082</v>
      </c>
      <c r="C50" s="30">
        <v>0.38673255682386903</v>
      </c>
      <c r="D50" s="30">
        <v>0.38673255682386903</v>
      </c>
    </row>
    <row r="51" spans="1:4" x14ac:dyDescent="0.25">
      <c r="A51" s="29">
        <v>45627</v>
      </c>
      <c r="B51" s="30">
        <v>0.4058699486529138</v>
      </c>
      <c r="C51" s="30">
        <v>0.4059052534328591</v>
      </c>
      <c r="D51" s="30">
        <v>0.4059052534328591</v>
      </c>
    </row>
    <row r="52" spans="1:4" x14ac:dyDescent="0.25">
      <c r="A52" s="29">
        <v>45658</v>
      </c>
      <c r="B52" s="30">
        <v>0.4146306390570647</v>
      </c>
      <c r="C52" s="30">
        <v>0.41470942854418674</v>
      </c>
      <c r="D52" s="30">
        <v>0.41470942854418674</v>
      </c>
    </row>
    <row r="53" spans="1:4" x14ac:dyDescent="0.25">
      <c r="A53" s="29">
        <v>45689</v>
      </c>
      <c r="B53" s="30">
        <v>0.41702203232693996</v>
      </c>
      <c r="C53" s="30">
        <v>0.41710489349314733</v>
      </c>
      <c r="D53" s="30">
        <v>0.41710489349314733</v>
      </c>
    </row>
    <row r="54" spans="1:4" x14ac:dyDescent="0.25">
      <c r="A54" s="29">
        <v>45717</v>
      </c>
      <c r="B54" s="30">
        <v>0.4186258901165874</v>
      </c>
      <c r="C54" s="30">
        <v>0.4187320196679267</v>
      </c>
      <c r="D54" s="30">
        <v>0.4187320196679267</v>
      </c>
    </row>
    <row r="55" spans="1:4" x14ac:dyDescent="0.25">
      <c r="A55" s="29">
        <v>45748</v>
      </c>
      <c r="B55" s="30">
        <v>0.4206568070941088</v>
      </c>
      <c r="C55" s="30">
        <v>0.4207447707263964</v>
      </c>
      <c r="D55" s="30">
        <v>0.4207447707263964</v>
      </c>
    </row>
    <row r="56" spans="1:4" x14ac:dyDescent="0.25">
      <c r="A56" s="29">
        <v>45778</v>
      </c>
      <c r="B56" s="30">
        <v>0.43813025132492533</v>
      </c>
      <c r="C56" s="30">
        <v>0.4381099760571348</v>
      </c>
      <c r="D56" s="30">
        <v>0.4381099760571348</v>
      </c>
    </row>
    <row r="57" spans="1:4" x14ac:dyDescent="0.25">
      <c r="A57" s="29">
        <v>45809</v>
      </c>
      <c r="B57" s="30">
        <v>0.4513667433747873</v>
      </c>
      <c r="C57" s="30">
        <v>0.45083654704501663</v>
      </c>
      <c r="D57" s="30">
        <v>0.45083654704501663</v>
      </c>
    </row>
    <row r="58" spans="1:4" x14ac:dyDescent="0.25">
      <c r="A58" s="29">
        <v>45839</v>
      </c>
      <c r="B58" s="30">
        <v>0.4687453159441111</v>
      </c>
      <c r="C58" s="30">
        <v>0.4690345060233835</v>
      </c>
      <c r="D58" s="30">
        <v>0.4690345060233835</v>
      </c>
    </row>
    <row r="59" spans="1:4" x14ac:dyDescent="0.25">
      <c r="A59" s="29">
        <v>45870</v>
      </c>
      <c r="B59" s="30">
        <v>0.4865550429100369</v>
      </c>
      <c r="C59" s="30">
        <v>0.48648767427552786</v>
      </c>
      <c r="D59" s="30">
        <v>0.48648767427552786</v>
      </c>
    </row>
    <row r="60" spans="1:4" x14ac:dyDescent="0.25">
      <c r="A60" s="29">
        <v>45901</v>
      </c>
      <c r="B60" s="30">
        <v>0.4994969516977601</v>
      </c>
      <c r="C60" s="30">
        <v>0.4988814339135674</v>
      </c>
      <c r="D60" s="30">
        <v>0.4988814339135674</v>
      </c>
    </row>
    <row r="61" spans="1:4" x14ac:dyDescent="0.25">
      <c r="A61" s="29">
        <v>45931</v>
      </c>
      <c r="B61" s="30">
        <v>0.5047554078039742</v>
      </c>
      <c r="C61" s="30">
        <v>0.5045303077943545</v>
      </c>
      <c r="D61" s="30">
        <v>0.5045303077943545</v>
      </c>
    </row>
    <row r="62" spans="1:4" x14ac:dyDescent="0.25">
      <c r="A62" s="29">
        <v>45962</v>
      </c>
      <c r="B62" s="30">
        <v>0.5092690217114326</v>
      </c>
      <c r="C62" s="30">
        <v>0.5076249841568179</v>
      </c>
      <c r="D62" s="30">
        <v>0.5076249841568179</v>
      </c>
    </row>
    <row r="63" spans="1:4" x14ac:dyDescent="0.25">
      <c r="A63" s="29">
        <v>45992</v>
      </c>
      <c r="B63" s="30">
        <v>0.5128305860558175</v>
      </c>
      <c r="C63" s="30">
        <v>0.5112308557310649</v>
      </c>
      <c r="D63" s="30">
        <v>0.5112308557310649</v>
      </c>
    </row>
    <row r="64" spans="1:4" x14ac:dyDescent="0.25">
      <c r="A64" s="29">
        <v>46023</v>
      </c>
      <c r="B64" s="30">
        <v>0.5150525198809582</v>
      </c>
      <c r="C64" s="30">
        <v>0.5143169277274309</v>
      </c>
      <c r="D64" s="30">
        <v>0.5143169277274309</v>
      </c>
    </row>
    <row r="65" spans="1:4" x14ac:dyDescent="0.25">
      <c r="A65" s="29">
        <v>46054</v>
      </c>
      <c r="B65" s="30">
        <v>0.5158537583326257</v>
      </c>
      <c r="C65" s="30">
        <v>0.5148599069329376</v>
      </c>
      <c r="D65" s="30">
        <v>0.5148599069329376</v>
      </c>
    </row>
    <row r="66" spans="1:4" x14ac:dyDescent="0.25">
      <c r="A66" s="29">
        <v>46082</v>
      </c>
      <c r="B66" s="30">
        <v>0.5167145143813846</v>
      </c>
      <c r="C66" s="30">
        <v>0.5153855055060281</v>
      </c>
      <c r="D66" s="30">
        <v>0.5153855055060281</v>
      </c>
    </row>
    <row r="67" spans="1:4" x14ac:dyDescent="0.25">
      <c r="A67" s="29">
        <v>46113</v>
      </c>
      <c r="B67" s="30">
        <v>0.5174892750407765</v>
      </c>
      <c r="C67" s="30">
        <v>0.515575057456358</v>
      </c>
      <c r="D67" s="30">
        <v>0.515575057456358</v>
      </c>
    </row>
    <row r="68" spans="1:4" x14ac:dyDescent="0.25">
      <c r="A68" s="29">
        <v>46143</v>
      </c>
      <c r="B68" s="30">
        <v>0.5197791563876455</v>
      </c>
      <c r="C68" s="30">
        <v>0.5173509193541911</v>
      </c>
      <c r="D68" s="30">
        <v>0.5173509193541911</v>
      </c>
    </row>
    <row r="69" spans="1:4" x14ac:dyDescent="0.25">
      <c r="A69" s="29">
        <v>46174</v>
      </c>
      <c r="B69" s="30">
        <v>0.5320289555435262</v>
      </c>
      <c r="C69" s="30">
        <v>0.5442396534991464</v>
      </c>
      <c r="D69" s="30">
        <v>0.5442396534991464</v>
      </c>
    </row>
    <row r="70" spans="1:4" x14ac:dyDescent="0.25">
      <c r="A70" s="29">
        <v>46204</v>
      </c>
      <c r="B70" s="30">
        <v>0.5503383786728339</v>
      </c>
      <c r="C70" s="30">
        <v>0.5577638216761505</v>
      </c>
      <c r="D70" s="30">
        <v>0.5577638216761505</v>
      </c>
    </row>
    <row r="71" spans="1:4" x14ac:dyDescent="0.25">
      <c r="A71" s="29">
        <v>46235</v>
      </c>
      <c r="B71" s="30">
        <v>0.5683886999069914</v>
      </c>
      <c r="C71" s="30">
        <v>0.5723658202841735</v>
      </c>
      <c r="D71" s="30">
        <v>0.57251644188135</v>
      </c>
    </row>
    <row r="72" spans="1:4" x14ac:dyDescent="0.25">
      <c r="A72" s="29">
        <v>46266</v>
      </c>
      <c r="B72" s="30">
        <v>0.5831582905736155</v>
      </c>
      <c r="C72" s="30">
        <v>0.5761249119676837</v>
      </c>
      <c r="D72" s="30">
        <v>0.5858132573800113</v>
      </c>
    </row>
    <row r="73" spans="1:4" x14ac:dyDescent="0.25">
      <c r="A73" s="29">
        <v>46296</v>
      </c>
      <c r="B73" s="30">
        <v>0.5963944187302916</v>
      </c>
      <c r="C73" s="30">
        <v>0.5957779222125023</v>
      </c>
      <c r="D73" s="30">
        <v>0.5859620414908254</v>
      </c>
    </row>
    <row r="74" spans="1:4" x14ac:dyDescent="0.25">
      <c r="A74" s="29">
        <v>46327</v>
      </c>
      <c r="B74" s="30">
        <v>0.6094136086631232</v>
      </c>
      <c r="C74" s="30">
        <v>0.6168065514622809</v>
      </c>
      <c r="D74" s="30"/>
    </row>
    <row r="75" spans="1:4" x14ac:dyDescent="0.25">
      <c r="A75" s="29">
        <v>46357</v>
      </c>
      <c r="B75" s="30">
        <v>0.6180900795929869</v>
      </c>
      <c r="C75" s="30">
        <v>0.6380110305209177</v>
      </c>
      <c r="D75" s="30"/>
    </row>
    <row r="76" spans="1:4" x14ac:dyDescent="0.25">
      <c r="A76" s="29">
        <v>46388</v>
      </c>
      <c r="B76" s="30">
        <v>0.627851815614804</v>
      </c>
      <c r="C76" s="30">
        <v>0.656995220741767</v>
      </c>
      <c r="D76" s="30"/>
    </row>
    <row r="77" spans="1:4" x14ac:dyDescent="0.25">
      <c r="A77" s="29">
        <v>46419</v>
      </c>
      <c r="B77" s="30">
        <v>0.6443447457357468</v>
      </c>
      <c r="C77" s="30">
        <v>0.6777467961834557</v>
      </c>
      <c r="D77" s="30"/>
    </row>
    <row r="78" spans="1:4" x14ac:dyDescent="0.25">
      <c r="A78" s="29">
        <v>46447</v>
      </c>
      <c r="B78" s="30">
        <v>0.6615860138857685</v>
      </c>
      <c r="C78" s="30">
        <v>0.7024434385289839</v>
      </c>
      <c r="D78" s="30"/>
    </row>
    <row r="79" spans="1:4" x14ac:dyDescent="0.25">
      <c r="A79" s="29">
        <v>46478</v>
      </c>
      <c r="B79" s="30">
        <v>0.6786115744489475</v>
      </c>
      <c r="C79" s="30">
        <v>0.7162180575749957</v>
      </c>
      <c r="D79" s="30"/>
    </row>
    <row r="80" spans="1:4" x14ac:dyDescent="0.25">
      <c r="A80" s="29">
        <v>46508</v>
      </c>
      <c r="B80" s="30">
        <v>0.6917067513154775</v>
      </c>
      <c r="C80" s="30">
        <v>0.7251338406004101</v>
      </c>
      <c r="D80" s="30"/>
    </row>
    <row r="81" spans="1:4" x14ac:dyDescent="0.25">
      <c r="A81" s="29">
        <v>46539</v>
      </c>
      <c r="B81" s="30">
        <v>0.7061014297542743</v>
      </c>
      <c r="C81" s="30">
        <v>0.7350425054622659</v>
      </c>
      <c r="D81" s="30"/>
    </row>
    <row r="82" spans="1:4" x14ac:dyDescent="0.25">
      <c r="A82" s="29">
        <v>46569</v>
      </c>
      <c r="B82" s="30">
        <v>0.723975104145454</v>
      </c>
      <c r="C82" s="30">
        <v>0.7540970768875979</v>
      </c>
      <c r="D82" s="30"/>
    </row>
    <row r="83" spans="1:4" x14ac:dyDescent="0.25">
      <c r="A83" s="29">
        <v>46600</v>
      </c>
      <c r="B83" s="30">
        <v>0.7416720345195817</v>
      </c>
      <c r="C83" s="30">
        <v>0.7731779409684421</v>
      </c>
      <c r="D83" s="30"/>
    </row>
    <row r="84" spans="1:4" x14ac:dyDescent="0.25">
      <c r="A84" s="29">
        <v>46631</v>
      </c>
      <c r="B84" s="30">
        <v>0.7596425498720184</v>
      </c>
      <c r="C84" s="30">
        <v>0.7884806841483105</v>
      </c>
      <c r="D84" s="30"/>
    </row>
    <row r="85" spans="1:4" x14ac:dyDescent="0.25">
      <c r="A85" s="29">
        <v>46661</v>
      </c>
      <c r="B85" s="30">
        <v>0.7797082898745685</v>
      </c>
      <c r="C85" s="30">
        <v>0.805384160426788</v>
      </c>
      <c r="D85" s="30"/>
    </row>
    <row r="86" spans="1:4" x14ac:dyDescent="0.25">
      <c r="A86" s="29">
        <v>46692</v>
      </c>
      <c r="B86" s="30">
        <v>0.7942594233350448</v>
      </c>
      <c r="C86" s="30">
        <v>0.8216422007457793</v>
      </c>
      <c r="D86" s="30"/>
    </row>
    <row r="87" spans="1:4" x14ac:dyDescent="0.25">
      <c r="A87" s="29">
        <v>46722</v>
      </c>
      <c r="B87" s="30">
        <v>0.8089757545605653</v>
      </c>
      <c r="C87" s="30">
        <v>0.8404663778085398</v>
      </c>
      <c r="D87" s="30"/>
    </row>
    <row r="88" spans="1:4" x14ac:dyDescent="0.25">
      <c r="A88" s="29">
        <v>46753</v>
      </c>
      <c r="B88" s="30">
        <v>0.8213295290429137</v>
      </c>
      <c r="C88" s="30">
        <v>0.8581613226583797</v>
      </c>
      <c r="D88" s="30"/>
    </row>
    <row r="89" spans="1:4" x14ac:dyDescent="0.25">
      <c r="A89" s="29">
        <v>46784</v>
      </c>
      <c r="B89" s="30">
        <v>0.8391430093299033</v>
      </c>
      <c r="C89" s="30">
        <v>0.8710757768564279</v>
      </c>
      <c r="D89" s="30"/>
    </row>
    <row r="90" spans="1:4" x14ac:dyDescent="0.25">
      <c r="A90" s="29">
        <v>46813</v>
      </c>
      <c r="B90" s="30">
        <v>0.8608480988978422</v>
      </c>
      <c r="C90" s="30">
        <v>0.8800634128448444</v>
      </c>
      <c r="D90" s="30"/>
    </row>
    <row r="91" spans="1:4" x14ac:dyDescent="0.25">
      <c r="A91" s="29">
        <v>46844</v>
      </c>
      <c r="B91" s="30">
        <v>0.880364766909889</v>
      </c>
      <c r="C91" s="30">
        <v>0.8874028739651362</v>
      </c>
      <c r="D91" s="30"/>
    </row>
    <row r="92" spans="1:4" x14ac:dyDescent="0.25">
      <c r="A92" s="29">
        <v>46874</v>
      </c>
      <c r="B92" s="30">
        <v>0.9042130972347567</v>
      </c>
      <c r="C92" s="30">
        <v>0.9025751501102427</v>
      </c>
      <c r="D92" s="30"/>
    </row>
    <row r="93" spans="1:4" x14ac:dyDescent="0.25">
      <c r="A93" s="29">
        <v>46905</v>
      </c>
      <c r="B93" s="30">
        <v>0.9295018548200861</v>
      </c>
      <c r="C93" s="30">
        <v>0.9212970873371702</v>
      </c>
      <c r="D93" s="30"/>
    </row>
    <row r="94" spans="1:4" x14ac:dyDescent="0.25">
      <c r="A94" s="29">
        <v>46935</v>
      </c>
      <c r="B94" s="30">
        <v>0.9470663648701162</v>
      </c>
      <c r="C94" s="30">
        <v>0.9380310189389462</v>
      </c>
      <c r="D94" s="30"/>
    </row>
    <row r="95" spans="1:4" x14ac:dyDescent="0.25">
      <c r="A95" s="29">
        <v>46966</v>
      </c>
      <c r="B95" s="30">
        <v>0.9682607493191626</v>
      </c>
      <c r="C95" s="30">
        <v>0.9615749786039774</v>
      </c>
      <c r="D95" s="30"/>
    </row>
    <row r="96" spans="1:4" x14ac:dyDescent="0.25">
      <c r="A96" s="29">
        <v>46997</v>
      </c>
      <c r="B96" s="30">
        <v>0.9845281834630175</v>
      </c>
      <c r="C96" s="30">
        <v>0.9854036454424135</v>
      </c>
      <c r="D96" s="30"/>
    </row>
    <row r="97" spans="1:4" x14ac:dyDescent="0.25">
      <c r="A97" s="29">
        <v>47027</v>
      </c>
      <c r="B97" s="30">
        <v>0.9971262504118857</v>
      </c>
      <c r="C97" s="30">
        <v>0.9982838163999064</v>
      </c>
      <c r="D97" s="30"/>
    </row>
    <row r="98" spans="1:4" x14ac:dyDescent="0.25">
      <c r="A98" s="29">
        <v>47058</v>
      </c>
      <c r="B98" s="30">
        <v>0.9998576906624802</v>
      </c>
      <c r="C98" s="30">
        <v>0.9999283101681167</v>
      </c>
      <c r="D98" s="30"/>
    </row>
    <row r="99" spans="1:4" x14ac:dyDescent="0.25">
      <c r="A99" s="29">
        <v>47088</v>
      </c>
      <c r="B99" s="30">
        <v>1</v>
      </c>
      <c r="C99" s="30">
        <v>1</v>
      </c>
      <c r="D99" s="30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5F6B"/>
  </sheetPr>
  <dimension ref="A1:F10"/>
  <sheetViews>
    <sheetView workbookViewId="0" showGridLines="0" zoomScale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8" customWidth="1"/>
    <col min="4" max="4" width="4" customWidth="1"/>
    <col min="5" max="5" width="22" customWidth="1"/>
    <col min="6" max="6" width="14" customWidth="1"/>
  </cols>
  <sheetData>
    <row r="1" ht="26" customHeight="1" spans="1:4" x14ac:dyDescent="0.25">
      <c r="A1" s="13" t="s">
        <v>250</v>
      </c>
      <c r="B1" s="13"/>
      <c r="C1" s="13"/>
      <c r="D1" s="13"/>
    </row>
    <row r="2" ht="32" customHeight="1" spans="1:6" x14ac:dyDescent="0.25">
      <c r="A2" s="2" t="s">
        <v>251</v>
      </c>
      <c r="B2" s="2"/>
      <c r="C2" s="2"/>
      <c r="D2" s="2"/>
      <c r="E2" s="31" t="s">
        <v>252</v>
      </c>
      <c r="F2" s="32">
        <v>46303</v>
      </c>
    </row>
    <row r="3" ht="6" customHeight="1" spans="1:1" x14ac:dyDescent="0.25"/>
    <row r="4" ht="34" customHeight="1" spans="1:6" x14ac:dyDescent="0.25">
      <c r="A4" s="15" t="s">
        <v>85</v>
      </c>
      <c r="B4" s="15" t="s">
        <v>253</v>
      </c>
      <c r="C4" s="15" t="s">
        <v>254</v>
      </c>
      <c r="D4" s="33"/>
      <c r="E4" s="33" t="s">
        <v>255</v>
      </c>
      <c r="F4" s="33" t="s">
        <v>255</v>
      </c>
    </row>
    <row r="5" spans="1:3" x14ac:dyDescent="0.25">
      <c r="A5" s="34" t="s">
        <v>112</v>
      </c>
      <c r="B5" s="34" t="s">
        <v>103</v>
      </c>
      <c r="C5" s="34" t="s">
        <v>219</v>
      </c>
    </row>
    <row r="6" spans="1:3" x14ac:dyDescent="0.25">
      <c r="A6" s="34" t="s">
        <v>95</v>
      </c>
      <c r="B6" s="34" t="s">
        <v>98</v>
      </c>
      <c r="C6" s="34" t="s">
        <v>227</v>
      </c>
    </row>
    <row r="7" spans="1:2" x14ac:dyDescent="0.25">
      <c r="A7" s="34" t="s">
        <v>108</v>
      </c>
      <c r="B7" s="34" t="s">
        <v>99</v>
      </c>
    </row>
    <row r="8" spans="1:1" x14ac:dyDescent="0.25">
      <c r="A8" s="34" t="s">
        <v>116</v>
      </c>
    </row>
    <row r="9" spans="1:1" x14ac:dyDescent="0.25">
      <c r="A9" s="34" t="s">
        <v>104</v>
      </c>
    </row>
    <row r="10" spans="1:1" x14ac:dyDescent="0.25">
      <c r="A10" s="34" t="s">
        <v>100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LEIA-ME</vt:lpstr>
      <vt:lpstr>Frentes</vt:lpstr>
      <vt:lpstr>Restrições</vt:lpstr>
      <vt:lpstr>Previsibilidade</vt:lpstr>
      <vt:lpstr>Planos de ação</vt:lpstr>
      <vt:lpstr>Cronograma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Planejamento trimestral</dc:creator>
  <dc:title/>
  <dc:subject/>
  <dc:description/>
  <cp:keywords/>
  <cp:category/>
  <cp:lastModifiedBy>Unknown</cp:lastModifiedBy>
  <dcterms:created xsi:type="dcterms:W3CDTF">2026-10-13T13:21:36Z</dcterms:created>
  <dcterms:modified xsi:type="dcterms:W3CDTF">2026-10-13T13:21:36Z</dcterms:modified>
</cp:coreProperties>
</file>