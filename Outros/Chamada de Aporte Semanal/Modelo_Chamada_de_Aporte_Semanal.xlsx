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xr:revisionPtr revIDLastSave="99" documentId="8_{50560373-7B5B-4EEB-8E1B-1DEAC9D4A806}" xr6:coauthVersionLast="47" xr6:coauthVersionMax="47" xr10:uidLastSave="{E7CFE343-DECB-48F0-B768-1E820226B29E}"/>
  <bookViews>
    <workbookView xWindow="-28920" yWindow="-120" windowWidth="29040" windowHeight="15720" tabRatio="500" xr2:uid="{00000000-000D-0000-FFFF-FFFF00000000}"/>
  </bookViews>
  <sheets>
    <sheet name="Resumo Gerencial" sheetId="1" r:id="rId1"/>
    <sheet name="CONFIG" sheetId="4" state="hidden" r:id="rId2"/>
    <sheet name="Controle EAP" sheetId="3" r:id="rId3"/>
    <sheet name="Detalhado" sheetId="2" r:id="rId4"/>
  </sheets>
  <definedNames>
    <definedName name="_xlnm._FilterDatabase" localSheetId="2" hidden="1">'Controle EAP'!$B$5:$K$279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6" i="3" l="1"/>
  <c r="K226" i="3"/>
  <c r="J227" i="3"/>
  <c r="K227" i="3"/>
  <c r="J228" i="3"/>
  <c r="K228" i="3"/>
  <c r="J229" i="3"/>
  <c r="K229" i="3"/>
  <c r="J231" i="3"/>
  <c r="K231" i="3"/>
  <c r="J232" i="3"/>
  <c r="K232" i="3"/>
  <c r="J233" i="3"/>
  <c r="K233" i="3"/>
  <c r="J234" i="3"/>
  <c r="K234" i="3"/>
  <c r="J235" i="3"/>
  <c r="K235" i="3"/>
  <c r="J237" i="3"/>
  <c r="J238" i="3"/>
  <c r="K238" i="3" s="1"/>
  <c r="J239" i="3"/>
  <c r="K239" i="3" s="1"/>
  <c r="J240" i="3"/>
  <c r="K240" i="3" s="1"/>
  <c r="J241" i="3"/>
  <c r="K241" i="3" s="1"/>
  <c r="J242" i="3"/>
  <c r="K242" i="3" s="1"/>
  <c r="J243" i="3"/>
  <c r="K243" i="3" s="1"/>
  <c r="J244" i="3"/>
  <c r="K244" i="3" s="1"/>
  <c r="J245" i="3"/>
  <c r="K245" i="3" s="1"/>
  <c r="J246" i="3"/>
  <c r="K246" i="3" s="1"/>
  <c r="J247" i="3"/>
  <c r="K247" i="3" s="1"/>
  <c r="J248" i="3"/>
  <c r="K248" i="3" s="1"/>
  <c r="J250" i="3"/>
  <c r="K250" i="3" s="1"/>
  <c r="J251" i="3"/>
  <c r="K251" i="3" s="1"/>
  <c r="J252" i="3"/>
  <c r="K252" i="3" s="1"/>
  <c r="J253" i="3"/>
  <c r="K253" i="3" s="1"/>
  <c r="J254" i="3"/>
  <c r="K254" i="3" s="1"/>
  <c r="J255" i="3"/>
  <c r="K255" i="3" s="1"/>
  <c r="J256" i="3"/>
  <c r="K256" i="3" s="1"/>
  <c r="J257" i="3"/>
  <c r="K257" i="3" s="1"/>
  <c r="J258" i="3"/>
  <c r="K258" i="3" s="1"/>
  <c r="J259" i="3"/>
  <c r="J260" i="3"/>
  <c r="K260" i="3" s="1"/>
  <c r="J261" i="3"/>
  <c r="K261" i="3" s="1"/>
  <c r="J262" i="3"/>
  <c r="K262" i="3" s="1"/>
  <c r="J263" i="3"/>
  <c r="K263" i="3" s="1"/>
  <c r="J264" i="3"/>
  <c r="K264" i="3" s="1"/>
  <c r="J265" i="3"/>
  <c r="K265" i="3" s="1"/>
  <c r="J266" i="3"/>
  <c r="K266" i="3" s="1"/>
  <c r="J267" i="3"/>
  <c r="K267" i="3" s="1"/>
  <c r="J268" i="3"/>
  <c r="K268" i="3" s="1"/>
  <c r="J269" i="3"/>
  <c r="K269" i="3" s="1"/>
  <c r="J270" i="3"/>
  <c r="K270" i="3" s="1"/>
  <c r="J271" i="3"/>
  <c r="K271" i="3" s="1"/>
  <c r="J272" i="3"/>
  <c r="K272" i="3" s="1"/>
  <c r="J273" i="3"/>
  <c r="K273" i="3" s="1"/>
  <c r="J274" i="3"/>
  <c r="K274" i="3" s="1"/>
  <c r="J275" i="3"/>
  <c r="K275" i="3" s="1"/>
  <c r="J276" i="3"/>
  <c r="K276" i="3" s="1"/>
  <c r="J277" i="3"/>
  <c r="K277" i="3" s="1"/>
  <c r="J278" i="3"/>
  <c r="K278" i="3" s="1"/>
  <c r="J279" i="3"/>
  <c r="K279" i="3" s="1"/>
  <c r="J280" i="3"/>
  <c r="K280" i="3" s="1"/>
  <c r="J281" i="3"/>
  <c r="K281" i="3" s="1"/>
  <c r="J282" i="3"/>
  <c r="K282" i="3" s="1"/>
  <c r="J283" i="3"/>
  <c r="J284" i="3"/>
  <c r="K284" i="3" s="1"/>
  <c r="J285" i="3"/>
  <c r="K285" i="3" s="1"/>
  <c r="J286" i="3"/>
  <c r="K286" i="3" s="1"/>
  <c r="J287" i="3"/>
  <c r="K287" i="3" s="1"/>
  <c r="J288" i="3"/>
  <c r="K288" i="3" s="1"/>
  <c r="J289" i="3"/>
  <c r="K289" i="3" s="1"/>
  <c r="J290" i="3"/>
  <c r="K290" i="3" s="1"/>
  <c r="J291" i="3"/>
  <c r="K291" i="3" s="1"/>
  <c r="J292" i="3"/>
  <c r="J293" i="3"/>
  <c r="K293" i="3" s="1"/>
  <c r="J294" i="3"/>
  <c r="K294" i="3" s="1"/>
  <c r="J295" i="3"/>
  <c r="J296" i="3"/>
  <c r="K296" i="3" s="1"/>
  <c r="J298" i="3"/>
  <c r="K298" i="3" s="1"/>
  <c r="J299" i="3"/>
  <c r="K299" i="3" s="1"/>
  <c r="J300" i="3"/>
  <c r="K300" i="3" s="1"/>
  <c r="J301" i="3"/>
  <c r="K301" i="3" s="1"/>
  <c r="J302" i="3"/>
  <c r="K302" i="3" s="1"/>
  <c r="J303" i="3"/>
  <c r="K303" i="3" s="1"/>
  <c r="J304" i="3"/>
  <c r="K304" i="3" s="1"/>
  <c r="J305" i="3"/>
  <c r="K305" i="3" s="1"/>
  <c r="J306" i="3"/>
  <c r="J307" i="3"/>
  <c r="K307" i="3" s="1"/>
  <c r="J308" i="3"/>
  <c r="K308" i="3" s="1"/>
  <c r="J309" i="3"/>
  <c r="K309" i="3" s="1"/>
  <c r="J310" i="3"/>
  <c r="K310" i="3" s="1"/>
  <c r="J311" i="3"/>
  <c r="K311" i="3" s="1"/>
  <c r="J312" i="3"/>
  <c r="K312" i="3" s="1"/>
  <c r="J313" i="3"/>
  <c r="K313" i="3" s="1"/>
  <c r="J314" i="3"/>
  <c r="K314" i="3" s="1"/>
  <c r="J315" i="3"/>
  <c r="K315" i="3" s="1"/>
  <c r="J316" i="3"/>
  <c r="K316" i="3" s="1"/>
  <c r="J317" i="3"/>
  <c r="K317" i="3" s="1"/>
  <c r="J319" i="3"/>
  <c r="J320" i="3"/>
  <c r="K320" i="3" s="1"/>
  <c r="J321" i="3"/>
  <c r="K321" i="3" s="1"/>
  <c r="J322" i="3"/>
  <c r="K322" i="3" s="1"/>
  <c r="J323" i="3"/>
  <c r="K323" i="3" s="1"/>
  <c r="J325" i="3"/>
  <c r="J326" i="3"/>
  <c r="K326" i="3" s="1"/>
  <c r="J327" i="3"/>
  <c r="K327" i="3" s="1"/>
  <c r="J328" i="3"/>
  <c r="J329" i="3"/>
  <c r="K329" i="3" s="1"/>
  <c r="J330" i="3"/>
  <c r="K330" i="3" s="1"/>
  <c r="J331" i="3"/>
  <c r="J332" i="3"/>
  <c r="K332" i="3" s="1"/>
  <c r="I331" i="3"/>
  <c r="I328" i="3"/>
  <c r="I325" i="3"/>
  <c r="I324" i="3" s="1"/>
  <c r="I319" i="3"/>
  <c r="I318" i="3" s="1"/>
  <c r="I297" i="3"/>
  <c r="I295" i="3"/>
  <c r="I292" i="3"/>
  <c r="I283" i="3"/>
  <c r="I249" i="3"/>
  <c r="I236" i="3"/>
  <c r="I230" i="3"/>
  <c r="I225" i="3"/>
  <c r="I217" i="3"/>
  <c r="I190" i="3"/>
  <c r="I174" i="3"/>
  <c r="I169" i="3"/>
  <c r="I153" i="3"/>
  <c r="I141" i="3"/>
  <c r="I132" i="3"/>
  <c r="I121" i="3"/>
  <c r="I108" i="3"/>
  <c r="I88" i="3"/>
  <c r="I85" i="3"/>
  <c r="I83" i="3"/>
  <c r="I82" i="3" s="1"/>
  <c r="I79" i="3"/>
  <c r="I52" i="3"/>
  <c r="I26" i="3"/>
  <c r="I11" i="3"/>
  <c r="I9" i="3"/>
  <c r="I8" i="3" s="1"/>
  <c r="I7" i="3" s="1"/>
  <c r="N12" i="2"/>
  <c r="N13" i="2"/>
  <c r="N14" i="2"/>
  <c r="N15" i="2"/>
  <c r="E31" i="1"/>
  <c r="E30" i="1"/>
  <c r="E32" i="1" s="1"/>
  <c r="E36" i="1" s="1"/>
  <c r="C3" i="4" a="1"/>
  <c r="B3" i="4" a="1"/>
  <c r="N6" i="2"/>
  <c r="N7" i="2"/>
  <c r="N8" i="2"/>
  <c r="N9" i="2"/>
  <c r="N10" i="2"/>
  <c r="N11" i="2"/>
  <c r="H7" i="3"/>
  <c r="H8" i="3"/>
  <c r="H9" i="3"/>
  <c r="H10" i="3"/>
  <c r="J10" i="3" s="1"/>
  <c r="H11" i="3"/>
  <c r="H12" i="3"/>
  <c r="J12" i="3" s="1"/>
  <c r="H13" i="3"/>
  <c r="J13" i="3" s="1"/>
  <c r="K13" i="3" s="1"/>
  <c r="H14" i="3"/>
  <c r="J14" i="3" s="1"/>
  <c r="K14" i="3" s="1"/>
  <c r="H15" i="3"/>
  <c r="J15" i="3" s="1"/>
  <c r="K15" i="3" s="1"/>
  <c r="H16" i="3"/>
  <c r="J16" i="3" s="1"/>
  <c r="K16" i="3" s="1"/>
  <c r="H17" i="3"/>
  <c r="J17" i="3" s="1"/>
  <c r="K17" i="3" s="1"/>
  <c r="H18" i="3"/>
  <c r="J18" i="3" s="1"/>
  <c r="K18" i="3" s="1"/>
  <c r="H19" i="3"/>
  <c r="J19" i="3" s="1"/>
  <c r="K19" i="3" s="1"/>
  <c r="H20" i="3"/>
  <c r="J20" i="3" s="1"/>
  <c r="K20" i="3" s="1"/>
  <c r="H21" i="3"/>
  <c r="J21" i="3" s="1"/>
  <c r="K21" i="3" s="1"/>
  <c r="H22" i="3"/>
  <c r="J22" i="3" s="1"/>
  <c r="K22" i="3" s="1"/>
  <c r="H23" i="3"/>
  <c r="J23" i="3" s="1"/>
  <c r="K23" i="3" s="1"/>
  <c r="H24" i="3"/>
  <c r="J24" i="3" s="1"/>
  <c r="K24" i="3" s="1"/>
  <c r="H25" i="3"/>
  <c r="J25" i="3" s="1"/>
  <c r="K25" i="3" s="1"/>
  <c r="H26" i="3"/>
  <c r="H27" i="3"/>
  <c r="J27" i="3" s="1"/>
  <c r="H28" i="3"/>
  <c r="H29" i="3"/>
  <c r="J29" i="3" s="1"/>
  <c r="H30" i="3"/>
  <c r="J30" i="3" s="1"/>
  <c r="K30" i="3" s="1"/>
  <c r="H31" i="3"/>
  <c r="H32" i="3"/>
  <c r="J32" i="3" s="1"/>
  <c r="H33" i="3"/>
  <c r="J33" i="3" s="1"/>
  <c r="K33" i="3" s="1"/>
  <c r="H34" i="3"/>
  <c r="J34" i="3" s="1"/>
  <c r="K34" i="3" s="1"/>
  <c r="H35" i="3"/>
  <c r="J35" i="3" s="1"/>
  <c r="K35" i="3" s="1"/>
  <c r="H36" i="3"/>
  <c r="J36" i="3" s="1"/>
  <c r="K36" i="3" s="1"/>
  <c r="H37" i="3"/>
  <c r="J37" i="3" s="1"/>
  <c r="K37" i="3" s="1"/>
  <c r="H38" i="3"/>
  <c r="J38" i="3" s="1"/>
  <c r="K38" i="3" s="1"/>
  <c r="H39" i="3"/>
  <c r="J39" i="3" s="1"/>
  <c r="K39" i="3" s="1"/>
  <c r="H40" i="3"/>
  <c r="J40" i="3" s="1"/>
  <c r="K40" i="3" s="1"/>
  <c r="H41" i="3"/>
  <c r="J41" i="3" s="1"/>
  <c r="K41" i="3" s="1"/>
  <c r="H42" i="3"/>
  <c r="J42" i="3" s="1"/>
  <c r="K42" i="3" s="1"/>
  <c r="H43" i="3"/>
  <c r="J43" i="3" s="1"/>
  <c r="K43" i="3" s="1"/>
  <c r="H44" i="3"/>
  <c r="J44" i="3" s="1"/>
  <c r="K44" i="3" s="1"/>
  <c r="H45" i="3"/>
  <c r="J45" i="3" s="1"/>
  <c r="K45" i="3" s="1"/>
  <c r="H46" i="3"/>
  <c r="J46" i="3" s="1"/>
  <c r="K46" i="3" s="1"/>
  <c r="H47" i="3"/>
  <c r="J47" i="3" s="1"/>
  <c r="K47" i="3" s="1"/>
  <c r="H48" i="3"/>
  <c r="J48" i="3" s="1"/>
  <c r="K48" i="3" s="1"/>
  <c r="H49" i="3"/>
  <c r="J49" i="3" s="1"/>
  <c r="K49" i="3" s="1"/>
  <c r="H50" i="3"/>
  <c r="J50" i="3" s="1"/>
  <c r="K50" i="3" s="1"/>
  <c r="H51" i="3"/>
  <c r="H52" i="3"/>
  <c r="H53" i="3"/>
  <c r="J53" i="3" s="1"/>
  <c r="K53" i="3" s="1"/>
  <c r="H54" i="3"/>
  <c r="J54" i="3" s="1"/>
  <c r="K54" i="3" s="1"/>
  <c r="H55" i="3"/>
  <c r="J55" i="3" s="1"/>
  <c r="K55" i="3" s="1"/>
  <c r="H56" i="3"/>
  <c r="J56" i="3" s="1"/>
  <c r="K56" i="3" s="1"/>
  <c r="H57" i="3"/>
  <c r="J57" i="3" s="1"/>
  <c r="K57" i="3" s="1"/>
  <c r="H58" i="3"/>
  <c r="J58" i="3" s="1"/>
  <c r="K58" i="3" s="1"/>
  <c r="H59" i="3"/>
  <c r="J59" i="3" s="1"/>
  <c r="K59" i="3" s="1"/>
  <c r="H60" i="3"/>
  <c r="J60" i="3" s="1"/>
  <c r="K60" i="3" s="1"/>
  <c r="H61" i="3"/>
  <c r="J61" i="3" s="1"/>
  <c r="K61" i="3" s="1"/>
  <c r="H62" i="3"/>
  <c r="J62" i="3" s="1"/>
  <c r="K62" i="3" s="1"/>
  <c r="H63" i="3"/>
  <c r="J63" i="3" s="1"/>
  <c r="K63" i="3" s="1"/>
  <c r="H64" i="3"/>
  <c r="H65" i="3"/>
  <c r="J65" i="3" s="1"/>
  <c r="H66" i="3"/>
  <c r="J66" i="3" s="1"/>
  <c r="K66" i="3" s="1"/>
  <c r="H67" i="3"/>
  <c r="J67" i="3" s="1"/>
  <c r="K67" i="3" s="1"/>
  <c r="H68" i="3"/>
  <c r="J68" i="3" s="1"/>
  <c r="K68" i="3" s="1"/>
  <c r="H69" i="3"/>
  <c r="J69" i="3" s="1"/>
  <c r="K69" i="3" s="1"/>
  <c r="H70" i="3"/>
  <c r="J70" i="3" s="1"/>
  <c r="K70" i="3" s="1"/>
  <c r="H71" i="3"/>
  <c r="J71" i="3" s="1"/>
  <c r="K71" i="3" s="1"/>
  <c r="H72" i="3"/>
  <c r="J72" i="3" s="1"/>
  <c r="K72" i="3" s="1"/>
  <c r="H73" i="3"/>
  <c r="J73" i="3" s="1"/>
  <c r="K73" i="3" s="1"/>
  <c r="H74" i="3"/>
  <c r="J74" i="3" s="1"/>
  <c r="K74" i="3" s="1"/>
  <c r="H75" i="3"/>
  <c r="H76" i="3"/>
  <c r="J76" i="3" s="1"/>
  <c r="H77" i="3"/>
  <c r="J77" i="3" s="1"/>
  <c r="K77" i="3" s="1"/>
  <c r="H78" i="3"/>
  <c r="J78" i="3" s="1"/>
  <c r="K78" i="3" s="1"/>
  <c r="H79" i="3"/>
  <c r="J79" i="3" s="1"/>
  <c r="H80" i="3"/>
  <c r="J80" i="3" s="1"/>
  <c r="K80" i="3" s="1"/>
  <c r="H81" i="3"/>
  <c r="J81" i="3" s="1"/>
  <c r="K81" i="3" s="1"/>
  <c r="H82" i="3"/>
  <c r="H83" i="3"/>
  <c r="H84" i="3"/>
  <c r="H85" i="3"/>
  <c r="J85" i="3" s="1"/>
  <c r="H86" i="3"/>
  <c r="J86" i="3" s="1"/>
  <c r="K86" i="3" s="1"/>
  <c r="H87" i="3"/>
  <c r="J87" i="3" s="1"/>
  <c r="K87" i="3" s="1"/>
  <c r="H88" i="3"/>
  <c r="H89" i="3"/>
  <c r="J89" i="3" s="1"/>
  <c r="K89" i="3" s="1"/>
  <c r="H90" i="3"/>
  <c r="J90" i="3" s="1"/>
  <c r="K90" i="3" s="1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J106" i="3" s="1"/>
  <c r="K106" i="3" s="1"/>
  <c r="H107" i="3"/>
  <c r="J107" i="3" s="1"/>
  <c r="K107" i="3" s="1"/>
  <c r="H108" i="3"/>
  <c r="H109" i="3"/>
  <c r="J109" i="3" s="1"/>
  <c r="K109" i="3" s="1"/>
  <c r="H110" i="3"/>
  <c r="J110" i="3" s="1"/>
  <c r="K110" i="3" s="1"/>
  <c r="H111" i="3"/>
  <c r="J111" i="3" s="1"/>
  <c r="H112" i="3"/>
  <c r="H113" i="3"/>
  <c r="J113" i="3" s="1"/>
  <c r="H114" i="3"/>
  <c r="J114" i="3" s="1"/>
  <c r="K114" i="3" s="1"/>
  <c r="H115" i="3"/>
  <c r="J115" i="3" s="1"/>
  <c r="K115" i="3" s="1"/>
  <c r="H116" i="3"/>
  <c r="J116" i="3" s="1"/>
  <c r="K116" i="3" s="1"/>
  <c r="H117" i="3"/>
  <c r="H118" i="3"/>
  <c r="J118" i="3" s="1"/>
  <c r="H119" i="3"/>
  <c r="J119" i="3" s="1"/>
  <c r="K119" i="3" s="1"/>
  <c r="H120" i="3"/>
  <c r="J120" i="3" s="1"/>
  <c r="K120" i="3" s="1"/>
  <c r="H121" i="3"/>
  <c r="H122" i="3"/>
  <c r="J122" i="3" s="1"/>
  <c r="K122" i="3" s="1"/>
  <c r="H123" i="3"/>
  <c r="J123" i="3" s="1"/>
  <c r="K123" i="3" s="1"/>
  <c r="H124" i="3"/>
  <c r="J124" i="3" s="1"/>
  <c r="K124" i="3" s="1"/>
  <c r="H125" i="3"/>
  <c r="J125" i="3" s="1"/>
  <c r="K125" i="3" s="1"/>
  <c r="H126" i="3"/>
  <c r="J126" i="3" s="1"/>
  <c r="K126" i="3" s="1"/>
  <c r="H127" i="3"/>
  <c r="J127" i="3" s="1"/>
  <c r="K127" i="3" s="1"/>
  <c r="H128" i="3"/>
  <c r="J128" i="3" s="1"/>
  <c r="K128" i="3" s="1"/>
  <c r="H129" i="3"/>
  <c r="J129" i="3" s="1"/>
  <c r="K129" i="3" s="1"/>
  <c r="H130" i="3"/>
  <c r="J130" i="3" s="1"/>
  <c r="K130" i="3" s="1"/>
  <c r="H131" i="3"/>
  <c r="J131" i="3" s="1"/>
  <c r="K131" i="3" s="1"/>
  <c r="H132" i="3"/>
  <c r="H133" i="3"/>
  <c r="J133" i="3" s="1"/>
  <c r="K133" i="3" s="1"/>
  <c r="H134" i="3"/>
  <c r="H135" i="3"/>
  <c r="J135" i="3" s="1"/>
  <c r="H136" i="3"/>
  <c r="J136" i="3" s="1"/>
  <c r="K136" i="3" s="1"/>
  <c r="H137" i="3"/>
  <c r="J137" i="3" s="1"/>
  <c r="K137" i="3" s="1"/>
  <c r="H138" i="3"/>
  <c r="J138" i="3" s="1"/>
  <c r="K138" i="3" s="1"/>
  <c r="H139" i="3"/>
  <c r="J139" i="3" s="1"/>
  <c r="K139" i="3" s="1"/>
  <c r="H140" i="3"/>
  <c r="J140" i="3" s="1"/>
  <c r="K140" i="3" s="1"/>
  <c r="H141" i="3"/>
  <c r="J141" i="3" s="1"/>
  <c r="H142" i="3"/>
  <c r="J142" i="3" s="1"/>
  <c r="K142" i="3" s="1"/>
  <c r="H143" i="3"/>
  <c r="J143" i="3" s="1"/>
  <c r="K143" i="3" s="1"/>
  <c r="H144" i="3"/>
  <c r="J144" i="3" s="1"/>
  <c r="K144" i="3" s="1"/>
  <c r="H145" i="3"/>
  <c r="J145" i="3" s="1"/>
  <c r="K145" i="3" s="1"/>
  <c r="H146" i="3"/>
  <c r="J146" i="3" s="1"/>
  <c r="K146" i="3" s="1"/>
  <c r="H147" i="3"/>
  <c r="J147" i="3" s="1"/>
  <c r="K147" i="3" s="1"/>
  <c r="H148" i="3"/>
  <c r="J148" i="3" s="1"/>
  <c r="K148" i="3" s="1"/>
  <c r="H149" i="3"/>
  <c r="J149" i="3" s="1"/>
  <c r="K149" i="3" s="1"/>
  <c r="H150" i="3"/>
  <c r="J150" i="3" s="1"/>
  <c r="K150" i="3" s="1"/>
  <c r="H151" i="3"/>
  <c r="J151" i="3" s="1"/>
  <c r="K151" i="3" s="1"/>
  <c r="H152" i="3"/>
  <c r="J152" i="3" s="1"/>
  <c r="K152" i="3" s="1"/>
  <c r="H153" i="3"/>
  <c r="H154" i="3"/>
  <c r="J154" i="3" s="1"/>
  <c r="K154" i="3" s="1"/>
  <c r="H155" i="3"/>
  <c r="J155" i="3" s="1"/>
  <c r="K155" i="3" s="1"/>
  <c r="H156" i="3"/>
  <c r="J156" i="3" s="1"/>
  <c r="K156" i="3" s="1"/>
  <c r="H157" i="3"/>
  <c r="J157" i="3" s="1"/>
  <c r="K157" i="3" s="1"/>
  <c r="H158" i="3"/>
  <c r="J158" i="3" s="1"/>
  <c r="K158" i="3" s="1"/>
  <c r="H159" i="3"/>
  <c r="J159" i="3" s="1"/>
  <c r="K159" i="3" s="1"/>
  <c r="H160" i="3"/>
  <c r="J160" i="3" s="1"/>
  <c r="K160" i="3" s="1"/>
  <c r="H161" i="3"/>
  <c r="H162" i="3"/>
  <c r="J162" i="3" s="1"/>
  <c r="H163" i="3"/>
  <c r="J163" i="3" s="1"/>
  <c r="K163" i="3" s="1"/>
  <c r="H164" i="3"/>
  <c r="J164" i="3" s="1"/>
  <c r="K164" i="3" s="1"/>
  <c r="H165" i="3"/>
  <c r="J165" i="3" s="1"/>
  <c r="K165" i="3" s="1"/>
  <c r="H166" i="3"/>
  <c r="J166" i="3" s="1"/>
  <c r="K166" i="3" s="1"/>
  <c r="H167" i="3"/>
  <c r="J167" i="3" s="1"/>
  <c r="K167" i="3" s="1"/>
  <c r="H168" i="3"/>
  <c r="J168" i="3" s="1"/>
  <c r="K168" i="3" s="1"/>
  <c r="H169" i="3"/>
  <c r="H170" i="3"/>
  <c r="J170" i="3" s="1"/>
  <c r="H171" i="3"/>
  <c r="J171" i="3" s="1"/>
  <c r="K171" i="3" s="1"/>
  <c r="H172" i="3"/>
  <c r="J172" i="3" s="1"/>
  <c r="K172" i="3" s="1"/>
  <c r="H173" i="3"/>
  <c r="J173" i="3" s="1"/>
  <c r="K173" i="3" s="1"/>
  <c r="H174" i="3"/>
  <c r="H175" i="3"/>
  <c r="J175" i="3" s="1"/>
  <c r="H176" i="3"/>
  <c r="J176" i="3" s="1"/>
  <c r="K176" i="3" s="1"/>
  <c r="H177" i="3"/>
  <c r="J177" i="3" s="1"/>
  <c r="K177" i="3" s="1"/>
  <c r="H178" i="3"/>
  <c r="J178" i="3" s="1"/>
  <c r="K178" i="3" s="1"/>
  <c r="H179" i="3"/>
  <c r="J179" i="3" s="1"/>
  <c r="K179" i="3" s="1"/>
  <c r="H180" i="3"/>
  <c r="H181" i="3"/>
  <c r="H182" i="3"/>
  <c r="J182" i="3" s="1"/>
  <c r="H183" i="3"/>
  <c r="J183" i="3" s="1"/>
  <c r="K183" i="3" s="1"/>
  <c r="H184" i="3"/>
  <c r="J184" i="3" s="1"/>
  <c r="K184" i="3" s="1"/>
  <c r="H185" i="3"/>
  <c r="J185" i="3" s="1"/>
  <c r="K185" i="3" s="1"/>
  <c r="H186" i="3"/>
  <c r="H187" i="3"/>
  <c r="H188" i="3"/>
  <c r="H189" i="3"/>
  <c r="H190" i="3"/>
  <c r="H191" i="3"/>
  <c r="H192" i="3"/>
  <c r="H193" i="3"/>
  <c r="H194" i="3"/>
  <c r="H195" i="3"/>
  <c r="J195" i="3" s="1"/>
  <c r="H196" i="3"/>
  <c r="J196" i="3" s="1"/>
  <c r="K196" i="3" s="1"/>
  <c r="H197" i="3"/>
  <c r="J197" i="3" s="1"/>
  <c r="K197" i="3" s="1"/>
  <c r="H198" i="3"/>
  <c r="J198" i="3" s="1"/>
  <c r="K198" i="3" s="1"/>
  <c r="H199" i="3"/>
  <c r="J199" i="3" s="1"/>
  <c r="K199" i="3" s="1"/>
  <c r="H200" i="3"/>
  <c r="J200" i="3" s="1"/>
  <c r="K200" i="3" s="1"/>
  <c r="H201" i="3"/>
  <c r="J201" i="3" s="1"/>
  <c r="K201" i="3" s="1"/>
  <c r="H202" i="3"/>
  <c r="J202" i="3" s="1"/>
  <c r="K202" i="3" s="1"/>
  <c r="H203" i="3"/>
  <c r="J203" i="3" s="1"/>
  <c r="K203" i="3" s="1"/>
  <c r="H204" i="3"/>
  <c r="J204" i="3" s="1"/>
  <c r="K204" i="3" s="1"/>
  <c r="H205" i="3"/>
  <c r="J205" i="3" s="1"/>
  <c r="K205" i="3" s="1"/>
  <c r="H206" i="3"/>
  <c r="J206" i="3" s="1"/>
  <c r="K206" i="3" s="1"/>
  <c r="H207" i="3"/>
  <c r="J207" i="3" s="1"/>
  <c r="K207" i="3" s="1"/>
  <c r="H208" i="3"/>
  <c r="J208" i="3" s="1"/>
  <c r="K208" i="3" s="1"/>
  <c r="H209" i="3"/>
  <c r="J209" i="3" s="1"/>
  <c r="K209" i="3" s="1"/>
  <c r="H210" i="3"/>
  <c r="J210" i="3" s="1"/>
  <c r="K210" i="3" s="1"/>
  <c r="H211" i="3"/>
  <c r="J211" i="3" s="1"/>
  <c r="K211" i="3" s="1"/>
  <c r="H212" i="3"/>
  <c r="J212" i="3" s="1"/>
  <c r="K212" i="3" s="1"/>
  <c r="H213" i="3"/>
  <c r="J213" i="3" s="1"/>
  <c r="K213" i="3" s="1"/>
  <c r="H214" i="3"/>
  <c r="J214" i="3" s="1"/>
  <c r="K214" i="3" s="1"/>
  <c r="H215" i="3"/>
  <c r="J215" i="3" s="1"/>
  <c r="K215" i="3" s="1"/>
  <c r="H216" i="3"/>
  <c r="J216" i="3" s="1"/>
  <c r="K216" i="3" s="1"/>
  <c r="H217" i="3"/>
  <c r="H218" i="3"/>
  <c r="J218" i="3" s="1"/>
  <c r="K218" i="3" s="1"/>
  <c r="H219" i="3"/>
  <c r="J219" i="3" s="1"/>
  <c r="K219" i="3" s="1"/>
  <c r="H220" i="3"/>
  <c r="J220" i="3" s="1"/>
  <c r="K220" i="3" s="1"/>
  <c r="H221" i="3"/>
  <c r="J221" i="3" s="1"/>
  <c r="K221" i="3" s="1"/>
  <c r="H222" i="3"/>
  <c r="J222" i="3" s="1"/>
  <c r="K222" i="3" s="1"/>
  <c r="H223" i="3"/>
  <c r="J223" i="3" s="1"/>
  <c r="K223" i="3" s="1"/>
  <c r="H224" i="3"/>
  <c r="J224" i="3" s="1"/>
  <c r="K224" i="3" s="1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6" i="3"/>
  <c r="Y4" i="2"/>
  <c r="X4" i="2"/>
  <c r="W4" i="2"/>
  <c r="L4" i="2"/>
  <c r="K4" i="2"/>
  <c r="D41" i="1"/>
  <c r="K259" i="3" l="1"/>
  <c r="J249" i="3"/>
  <c r="K283" i="3"/>
  <c r="K295" i="3"/>
  <c r="K292" i="3"/>
  <c r="K331" i="3"/>
  <c r="K249" i="3"/>
  <c r="K328" i="3"/>
  <c r="K237" i="3"/>
  <c r="J236" i="3"/>
  <c r="K236" i="3" s="1"/>
  <c r="J230" i="3"/>
  <c r="K230" i="3" s="1"/>
  <c r="J121" i="3"/>
  <c r="J297" i="3"/>
  <c r="K297" i="3" s="1"/>
  <c r="K306" i="3"/>
  <c r="J318" i="3"/>
  <c r="K318" i="3" s="1"/>
  <c r="K319" i="3"/>
  <c r="J324" i="3"/>
  <c r="K324" i="3" s="1"/>
  <c r="K325" i="3"/>
  <c r="J217" i="3"/>
  <c r="J180" i="3"/>
  <c r="J91" i="3"/>
  <c r="J92" i="3"/>
  <c r="K92" i="3" s="1"/>
  <c r="J93" i="3"/>
  <c r="K93" i="3" s="1"/>
  <c r="J94" i="3"/>
  <c r="J95" i="3"/>
  <c r="K95" i="3" s="1"/>
  <c r="J97" i="3"/>
  <c r="K97" i="3" s="1"/>
  <c r="J98" i="3"/>
  <c r="K98" i="3" s="1"/>
  <c r="J99" i="3"/>
  <c r="K99" i="3" s="1"/>
  <c r="J100" i="3"/>
  <c r="K100" i="3" s="1"/>
  <c r="J101" i="3"/>
  <c r="K101" i="3" s="1"/>
  <c r="J102" i="3"/>
  <c r="J103" i="3"/>
  <c r="K103" i="3" s="1"/>
  <c r="J104" i="3"/>
  <c r="K104" i="3" s="1"/>
  <c r="J105" i="3"/>
  <c r="K105" i="3" s="1"/>
  <c r="J186" i="3"/>
  <c r="J187" i="3"/>
  <c r="K187" i="3" s="1"/>
  <c r="J188" i="3"/>
  <c r="K188" i="3" s="1"/>
  <c r="J189" i="3"/>
  <c r="K189" i="3" s="1"/>
  <c r="J191" i="3"/>
  <c r="J192" i="3"/>
  <c r="K192" i="3" s="1"/>
  <c r="J193" i="3"/>
  <c r="K193" i="3" s="1"/>
  <c r="D164" i="4"/>
  <c r="D196" i="4"/>
  <c r="D202" i="4"/>
  <c r="D206" i="4"/>
  <c r="D208" i="4"/>
  <c r="D215" i="4"/>
  <c r="D221" i="4"/>
  <c r="D226" i="4"/>
  <c r="D237" i="4"/>
  <c r="D243" i="4"/>
  <c r="D161" i="4"/>
  <c r="D191" i="4"/>
  <c r="D195" i="4"/>
  <c r="D199" i="4"/>
  <c r="D200" i="4"/>
  <c r="D205" i="4"/>
  <c r="D212" i="4"/>
  <c r="D217" i="4"/>
  <c r="D223" i="4"/>
  <c r="D229" i="4"/>
  <c r="D236" i="4"/>
  <c r="D242" i="4"/>
  <c r="D166" i="4"/>
  <c r="D186" i="4"/>
  <c r="D189" i="4"/>
  <c r="D192" i="4"/>
  <c r="D194" i="4"/>
  <c r="D197" i="4"/>
  <c r="D203" i="4"/>
  <c r="D209" i="4"/>
  <c r="D216" i="4"/>
  <c r="D222" i="4"/>
  <c r="D225" i="4"/>
  <c r="D231" i="4"/>
  <c r="D234" i="4"/>
  <c r="D241" i="4"/>
  <c r="D119" i="4"/>
  <c r="D156" i="4"/>
  <c r="D163" i="4"/>
  <c r="D168" i="4"/>
  <c r="D171" i="4"/>
  <c r="D173" i="4"/>
  <c r="D175" i="4"/>
  <c r="D177" i="4"/>
  <c r="D179" i="4"/>
  <c r="D181" i="4"/>
  <c r="D183" i="4"/>
  <c r="D185" i="4"/>
  <c r="D188" i="4"/>
  <c r="D190" i="4"/>
  <c r="D193" i="4"/>
  <c r="D198" i="4"/>
  <c r="D201" i="4"/>
  <c r="D204" i="4"/>
  <c r="D210" i="4"/>
  <c r="D214" i="4"/>
  <c r="D220" i="4"/>
  <c r="D227" i="4"/>
  <c r="D235" i="4"/>
  <c r="D239" i="4"/>
  <c r="D245" i="4"/>
  <c r="D4" i="4"/>
  <c r="D6" i="4"/>
  <c r="D8" i="4"/>
  <c r="D10" i="4"/>
  <c r="D12" i="4"/>
  <c r="D15" i="4"/>
  <c r="D16" i="4"/>
  <c r="D18" i="4"/>
  <c r="D20" i="4"/>
  <c r="D22" i="4"/>
  <c r="D24" i="4"/>
  <c r="D25" i="4"/>
  <c r="D26" i="4"/>
  <c r="D28" i="4"/>
  <c r="D31" i="4"/>
  <c r="D33" i="4"/>
  <c r="D36" i="4"/>
  <c r="D39" i="4"/>
  <c r="D41" i="4"/>
  <c r="D44" i="4"/>
  <c r="D46" i="4"/>
  <c r="D48" i="4"/>
  <c r="D50" i="4"/>
  <c r="D53" i="4"/>
  <c r="D55" i="4"/>
  <c r="D57" i="4"/>
  <c r="D59" i="4"/>
  <c r="D62" i="4"/>
  <c r="D65" i="4"/>
  <c r="D67" i="4"/>
  <c r="D69" i="4"/>
  <c r="D70" i="4"/>
  <c r="D72" i="4"/>
  <c r="D74" i="4"/>
  <c r="D76" i="4"/>
  <c r="D78" i="4"/>
  <c r="D80" i="4"/>
  <c r="D82" i="4"/>
  <c r="D83" i="4"/>
  <c r="D85" i="4"/>
  <c r="D87" i="4"/>
  <c r="D90" i="4"/>
  <c r="D91" i="4"/>
  <c r="D93" i="4"/>
  <c r="D96" i="4"/>
  <c r="D98" i="4"/>
  <c r="D99" i="4"/>
  <c r="D101" i="4"/>
  <c r="D103" i="4"/>
  <c r="D106" i="4"/>
  <c r="D108" i="4"/>
  <c r="D110" i="4"/>
  <c r="D112" i="4"/>
  <c r="D114" i="4"/>
  <c r="D116" i="4"/>
  <c r="D117" i="4"/>
  <c r="D120" i="4"/>
  <c r="D122" i="4"/>
  <c r="D124" i="4"/>
  <c r="D127" i="4"/>
  <c r="D130" i="4"/>
  <c r="D132" i="4"/>
  <c r="D135" i="4"/>
  <c r="D137" i="4"/>
  <c r="D140" i="4"/>
  <c r="D143" i="4"/>
  <c r="D145" i="4"/>
  <c r="D148" i="4"/>
  <c r="D150" i="4"/>
  <c r="D152" i="4"/>
  <c r="D154" i="4"/>
  <c r="D158" i="4"/>
  <c r="D160" i="4"/>
  <c r="D162" i="4"/>
  <c r="D167" i="4"/>
  <c r="D169" i="4"/>
  <c r="D172" i="4"/>
  <c r="D174" i="4"/>
  <c r="D176" i="4"/>
  <c r="D178" i="4"/>
  <c r="D180" i="4"/>
  <c r="D182" i="4"/>
  <c r="D184" i="4"/>
  <c r="D187" i="4"/>
  <c r="D207" i="4"/>
  <c r="D211" i="4"/>
  <c r="D218" i="4"/>
  <c r="D224" i="4"/>
  <c r="D230" i="4"/>
  <c r="D233" i="4"/>
  <c r="D240" i="4"/>
  <c r="D5" i="4"/>
  <c r="D7" i="4"/>
  <c r="D9" i="4"/>
  <c r="D11" i="4"/>
  <c r="D13" i="4"/>
  <c r="D14" i="4"/>
  <c r="D17" i="4"/>
  <c r="D19" i="4"/>
  <c r="D21" i="4"/>
  <c r="D23" i="4"/>
  <c r="D27" i="4"/>
  <c r="D29" i="4"/>
  <c r="D30" i="4"/>
  <c r="D32" i="4"/>
  <c r="D34" i="4"/>
  <c r="D35" i="4"/>
  <c r="D37" i="4"/>
  <c r="D38" i="4"/>
  <c r="D40" i="4"/>
  <c r="D42" i="4"/>
  <c r="D43" i="4"/>
  <c r="D45" i="4"/>
  <c r="D47" i="4"/>
  <c r="D49" i="4"/>
  <c r="D51" i="4"/>
  <c r="D52" i="4"/>
  <c r="D54" i="4"/>
  <c r="D56" i="4"/>
  <c r="D58" i="4"/>
  <c r="D60" i="4"/>
  <c r="D61" i="4"/>
  <c r="D63" i="4"/>
  <c r="D64" i="4"/>
  <c r="D66" i="4"/>
  <c r="D68" i="4"/>
  <c r="D71" i="4"/>
  <c r="D73" i="4"/>
  <c r="D75" i="4"/>
  <c r="D77" i="4"/>
  <c r="D79" i="4"/>
  <c r="D81" i="4"/>
  <c r="D84" i="4"/>
  <c r="D86" i="4"/>
  <c r="D88" i="4"/>
  <c r="D89" i="4"/>
  <c r="D92" i="4"/>
  <c r="D94" i="4"/>
  <c r="D95" i="4"/>
  <c r="D97" i="4"/>
  <c r="D100" i="4"/>
  <c r="D102" i="4"/>
  <c r="D104" i="4"/>
  <c r="D105" i="4"/>
  <c r="D107" i="4"/>
  <c r="D109" i="4"/>
  <c r="D111" i="4"/>
  <c r="D113" i="4"/>
  <c r="D115" i="4"/>
  <c r="D118" i="4"/>
  <c r="D121" i="4"/>
  <c r="D123" i="4"/>
  <c r="D125" i="4"/>
  <c r="D126" i="4"/>
  <c r="D128" i="4"/>
  <c r="D129" i="4"/>
  <c r="D131" i="4"/>
  <c r="D133" i="4"/>
  <c r="D134" i="4"/>
  <c r="D136" i="4"/>
  <c r="D138" i="4"/>
  <c r="D139" i="4"/>
  <c r="D141" i="4"/>
  <c r="D142" i="4"/>
  <c r="D144" i="4"/>
  <c r="D146" i="4"/>
  <c r="D147" i="4"/>
  <c r="D149" i="4"/>
  <c r="D151" i="4"/>
  <c r="D153" i="4"/>
  <c r="D155" i="4"/>
  <c r="D157" i="4"/>
  <c r="D159" i="4"/>
  <c r="D165" i="4"/>
  <c r="D170" i="4"/>
  <c r="D213" i="4"/>
  <c r="D219" i="4"/>
  <c r="D228" i="4"/>
  <c r="D232" i="4"/>
  <c r="D238" i="4"/>
  <c r="D244" i="4"/>
  <c r="J9" i="3"/>
  <c r="K10" i="3"/>
  <c r="K12" i="3"/>
  <c r="J11" i="3"/>
  <c r="K27" i="3"/>
  <c r="K29" i="3"/>
  <c r="J28" i="3"/>
  <c r="J31" i="3"/>
  <c r="K32" i="3"/>
  <c r="J51" i="3"/>
  <c r="K51" i="3" s="1"/>
  <c r="J64" i="3"/>
  <c r="K65" i="3"/>
  <c r="J75" i="3"/>
  <c r="K75" i="3" s="1"/>
  <c r="K76" i="3"/>
  <c r="K111" i="3"/>
  <c r="J112" i="3"/>
  <c r="K113" i="3"/>
  <c r="K118" i="3"/>
  <c r="J117" i="3"/>
  <c r="K117" i="3" s="1"/>
  <c r="K135" i="3"/>
  <c r="J134" i="3"/>
  <c r="J161" i="3"/>
  <c r="K162" i="3"/>
  <c r="K170" i="3"/>
  <c r="J169" i="3"/>
  <c r="K175" i="3"/>
  <c r="K182" i="3"/>
  <c r="K195" i="3"/>
  <c r="J194" i="3"/>
  <c r="K191" i="3" l="1"/>
  <c r="K28" i="3"/>
  <c r="K91" i="3"/>
  <c r="K31" i="3"/>
  <c r="J26" i="3"/>
  <c r="K64" i="3"/>
  <c r="J52" i="3"/>
  <c r="K112" i="3"/>
  <c r="J108" i="3"/>
  <c r="K134" i="3"/>
  <c r="J132" i="3"/>
  <c r="K161" i="3"/>
  <c r="J153" i="3"/>
  <c r="K194" i="3"/>
  <c r="J190" i="3"/>
  <c r="J225" i="3"/>
  <c r="K180" i="3"/>
  <c r="K94" i="3"/>
  <c r="J84" i="3"/>
  <c r="K186" i="3"/>
  <c r="J181" i="3"/>
  <c r="K102" i="3"/>
  <c r="J96" i="3"/>
  <c r="E40" i="1"/>
  <c r="J88" i="3" l="1"/>
  <c r="K181" i="3"/>
  <c r="J174" i="3"/>
  <c r="K84" i="3"/>
  <c r="J83" i="3"/>
  <c r="K96" i="3"/>
  <c r="J8" i="3"/>
  <c r="E41" i="1"/>
  <c r="J82" i="3" l="1"/>
  <c r="J7" i="3" l="1"/>
  <c r="J6" i="3" l="1"/>
  <c r="E45" i="1" l="1"/>
  <c r="D3" i="4"/>
  <c r="K153" i="3" l="1"/>
  <c r="K85" i="3"/>
  <c r="K174" i="3"/>
  <c r="K82" i="3"/>
  <c r="K190" i="3"/>
  <c r="K83" i="3"/>
  <c r="I6" i="3"/>
  <c r="K132" i="3"/>
  <c r="K169" i="3"/>
  <c r="K79" i="3"/>
  <c r="K225" i="3"/>
  <c r="K26" i="3"/>
  <c r="K121" i="3"/>
  <c r="K108" i="3"/>
  <c r="K8" i="3"/>
  <c r="K217" i="3"/>
  <c r="K52" i="3"/>
  <c r="K141" i="3"/>
  <c r="K11" i="3"/>
  <c r="K88" i="3"/>
  <c r="K9" i="3"/>
  <c r="K7" i="3"/>
  <c r="E44" i="1" l="1"/>
  <c r="K6" i="3"/>
  <c r="E46" i="1" l="1"/>
  <c r="E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9" authorId="0" shapeId="0" xr:uid="{00000000-0006-0000-0000-000001000000}">
      <text>
        <r>
          <rPr>
            <sz val="10"/>
            <rFont val="Arial"/>
            <family val="2"/>
          </rPr>
          <t>Preencher com o saldo bancário disponível na data da chamada.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<sst xmlns="http://schemas.openxmlformats.org/spreadsheetml/2006/main" count="1783" uniqueCount="1334">
  <si>
    <t>CHAMADA DE APORTE SEMANAL</t>
  </si>
  <si>
    <t>Modelo – Resumo Gerencial</t>
  </si>
  <si>
    <t>GERENCIAMENTO DE OBRAS</t>
  </si>
  <si>
    <t>Empreendimento:</t>
  </si>
  <si>
    <t>[NOME DO EMPREENDIMENTO]</t>
  </si>
  <si>
    <t>CNPJ:</t>
  </si>
  <si>
    <t>00.000.000/0001-00</t>
  </si>
  <si>
    <t>Razão Social:</t>
  </si>
  <si>
    <t>[RAZÃO SOCIAL DA SPE]</t>
  </si>
  <si>
    <t>Gestor Vertical:</t>
  </si>
  <si>
    <t>[NOME DO GESTOR VERTICAL]</t>
  </si>
  <si>
    <t>Gestor do Contrato:</t>
  </si>
  <si>
    <t>[NOME DO GESTOR DO CONTRATO]</t>
  </si>
  <si>
    <t>DADOS DO EMPREENDIMENTO</t>
  </si>
  <si>
    <t>PERÍODO E DATA DO APORTE</t>
  </si>
  <si>
    <t>Período de Referência (de):</t>
  </si>
  <si>
    <t>até:</t>
  </si>
  <si>
    <t>Data do Aporte (descida de recursos):</t>
  </si>
  <si>
    <t>DADOS BANCÁRIOS PARA DESCIDA DE RECURSOS</t>
  </si>
  <si>
    <t>Banco:</t>
  </si>
  <si>
    <t>[BANCO]</t>
  </si>
  <si>
    <t>Agência:</t>
  </si>
  <si>
    <t>[AGÊNCIA]</t>
  </si>
  <si>
    <t>Conta Corrente:</t>
  </si>
  <si>
    <t>[CONTA CORRENTE]</t>
  </si>
  <si>
    <t>CNPJ da Conta:</t>
  </si>
  <si>
    <t>[CNPJ]</t>
  </si>
  <si>
    <t>RESUMO GERENCIAL DO APORTE</t>
  </si>
  <si>
    <t>Saldo Bancário</t>
  </si>
  <si>
    <t>Data:</t>
  </si>
  <si>
    <t>xx/xx/26</t>
  </si>
  <si>
    <t>(-) Contas a Pagar – Sistema (já lançadas/pagas no ERP)</t>
  </si>
  <si>
    <t>(-) Contas a Lançar – Gerencial (previstas, ainda não lançadas)</t>
  </si>
  <si>
    <t>TOTAL DE SAÍDAS DO PERÍODO</t>
  </si>
  <si>
    <t>(-) Fundo de Reserva</t>
  </si>
  <si>
    <t>VALOR DO APORTE SOLICITADO</t>
  </si>
  <si>
    <t>Valor do Aporte Necessário</t>
  </si>
  <si>
    <t>RATEIO DO APORTE POR INVESTIDOR (opcional)</t>
  </si>
  <si>
    <t>Investidor / Quotista</t>
  </si>
  <si>
    <t>% Participação</t>
  </si>
  <si>
    <t>Valor do Aporte</t>
  </si>
  <si>
    <t>[Investidor 1]</t>
  </si>
  <si>
    <t>TOTAL</t>
  </si>
  <si>
    <t>EXECUÇÃO ORÇAMENTÁRIA (EAP)</t>
  </si>
  <si>
    <t>Orçamento Alvo Total</t>
  </si>
  <si>
    <t>Incorrido Acumulado Total (Pago)</t>
  </si>
  <si>
    <t>Saldo Orçamentário Disponível</t>
  </si>
  <si>
    <t>% Executado do Orçamento</t>
  </si>
  <si>
    <t>Legenda:</t>
  </si>
  <si>
    <t>Amarelo = célula de preenchimento manual</t>
  </si>
  <si>
    <t>Branco (fórmula) = calculado automaticamente</t>
  </si>
  <si>
    <t>PROCESSOS DE PAGAMENTO LANÇADOS NO UAU</t>
  </si>
  <si>
    <t>CONTRATOS LANÇADOS NO UAU</t>
  </si>
  <si>
    <t>CONTAS A LANÇAR – GERENCIAL (PREVISTAS, AINDA NÃO LANÇADAS)</t>
  </si>
  <si>
    <t>ATUALIZACAO</t>
  </si>
  <si>
    <t>EMPRESA</t>
  </si>
  <si>
    <t>OBRA</t>
  </si>
  <si>
    <t>ITEM_PL</t>
  </si>
  <si>
    <t>SERVICO</t>
  </si>
  <si>
    <t>INSUMO</t>
  </si>
  <si>
    <t>FORNECEDOR</t>
  </si>
  <si>
    <t>PROCESSO</t>
  </si>
  <si>
    <t>DATA_DE_PAGAMENTO</t>
  </si>
  <si>
    <t>PAGO</t>
  </si>
  <si>
    <t>A_PAGAR</t>
  </si>
  <si>
    <t>DATA_GERACAO</t>
  </si>
  <si>
    <t>CHAVE</t>
  </si>
  <si>
    <t>SERVIÇO</t>
  </si>
  <si>
    <t>ITEM PL</t>
  </si>
  <si>
    <t>CONTRATO</t>
  </si>
  <si>
    <t>TOTAL DO CONTRATO</t>
  </si>
  <si>
    <t>TOTAL APROVADO</t>
  </si>
  <si>
    <t>TOTAL SALDO</t>
  </si>
  <si>
    <t>ITEM</t>
  </si>
  <si>
    <t>ALOCAÇÃO</t>
  </si>
  <si>
    <t>VALOR PREVISTO</t>
  </si>
  <si>
    <t>000 - EMPRESA EXEMPLO LTDA</t>
  </si>
  <si>
    <t>OBRA EXEMPLO - CUSTO DE OBRA</t>
  </si>
  <si>
    <t>01.01.02.01</t>
  </si>
  <si>
    <t>C18698 - BARRACÕES DE OBRA</t>
  </si>
  <si>
    <t>TC0351 - SERVICOS GERAIS</t>
  </si>
  <si>
    <t>000 - FORNECEDOR EXEMPLO</t>
  </si>
  <si>
    <t>CSF7.04 - DEMOLIÇÃO.</t>
  </si>
  <si>
    <t>000 - FORNECEDOR EXEMPLO</t>
  </si>
  <si>
    <t>01.02.00.03</t>
  </si>
  <si>
    <t xml:space="preserve"> </t>
  </si>
  <si>
    <t>01.01.01.01</t>
  </si>
  <si>
    <t>C18612 - SERVIÇO DE ELABORAÇÃO DE MANUAL DO PROPRIETÁRIO</t>
  </si>
  <si>
    <t>I38849 - SEGURO DE OBRA</t>
  </si>
  <si>
    <t>000 - FORNECEDOR EXEMPLO</t>
  </si>
  <si>
    <t>CONTROLE EAP - ORÇADO x INCORRIDO ([NOME DA OBRA])</t>
  </si>
  <si>
    <t>Base: orçamento-alvo enviado (arquivo de orçamento da obra). O incorrido é somado automaticamente a partir da aba Detalhado pelo Código EAP (De-Para).</t>
  </si>
  <si>
    <t>COD_SERVICO</t>
  </si>
  <si>
    <t>DESCRICAO</t>
  </si>
  <si>
    <t>TIPO_HIERARQUICO</t>
  </si>
  <si>
    <t>NIVEL</t>
  </si>
  <si>
    <t>VALOR 
ORÇADO</t>
  </si>
  <si>
    <t>VALOR INCORRIDO</t>
  </si>
  <si>
    <t>SALDO DE ORÇAMENTO</t>
  </si>
  <si>
    <t>CUSTO OBRA</t>
  </si>
  <si>
    <t>FASE</t>
  </si>
  <si>
    <t>01</t>
  </si>
  <si>
    <t>01.01</t>
  </si>
  <si>
    <t>CUSTO INDIRETO DA OBRA</t>
  </si>
  <si>
    <t>01.001</t>
  </si>
  <si>
    <t>01.01.01</t>
  </si>
  <si>
    <t>SERVICOS PRELIMINARES E GERAIS</t>
  </si>
  <si>
    <t>01.001.001</t>
  </si>
  <si>
    <t>C18612</t>
  </si>
  <si>
    <t>SERVIÇO DE ELABORAÇÃO DE MANUAL DO PROPRIETÁRIO</t>
  </si>
  <si>
    <t>01.001.001.001</t>
  </si>
  <si>
    <t>01.01.02</t>
  </si>
  <si>
    <t>IMPLANTACAO DA OBRA</t>
  </si>
  <si>
    <t>01.001.002</t>
  </si>
  <si>
    <t>C18698</t>
  </si>
  <si>
    <t>BARRACÕES DE OBRA</t>
  </si>
  <si>
    <t>01.001.002.001</t>
  </si>
  <si>
    <t>01.01.02.02</t>
  </si>
  <si>
    <t>C18700</t>
  </si>
  <si>
    <t>INSTALAÇÕES PROVISORIAS DE AGUA E ESGOTO</t>
  </si>
  <si>
    <t>01.001.002.002</t>
  </si>
  <si>
    <t>01.01.02.03</t>
  </si>
  <si>
    <t>C18701</t>
  </si>
  <si>
    <t>INSTALAÇÕES PROVISORIAS DE ENERGIA</t>
  </si>
  <si>
    <t>01.001.002.003</t>
  </si>
  <si>
    <t>01.01.02.04</t>
  </si>
  <si>
    <t>C15897</t>
  </si>
  <si>
    <t>SERVIÇO PRESTADO - EQUIPE DE APOIO DE CANTEIRO DE OBRA</t>
  </si>
  <si>
    <t>01.001.002.004</t>
  </si>
  <si>
    <t>01.01.02.05</t>
  </si>
  <si>
    <t>C19273</t>
  </si>
  <si>
    <t>SERVIÇO DE EXECUÇÃO DE INSTALAÇÃO DO SISTEMA DE ALARME/SEGURANÇA</t>
  </si>
  <si>
    <t>01.001.002.005</t>
  </si>
  <si>
    <t>01.01.02.06</t>
  </si>
  <si>
    <t>C12930</t>
  </si>
  <si>
    <t>SERVIÇO DE MANUTENÇÃO DE ALARME DE SEGURANÇA</t>
  </si>
  <si>
    <t>01.001.002.006</t>
  </si>
  <si>
    <t>01.01.02.07</t>
  </si>
  <si>
    <t>C17211</t>
  </si>
  <si>
    <t>INSTALAÇÕES DE CANTEIRO</t>
  </si>
  <si>
    <t>01.001.002.007</t>
  </si>
  <si>
    <t>01.01.02.08</t>
  </si>
  <si>
    <t>CO330</t>
  </si>
  <si>
    <t>OUTRAS MANUTENÇÕES DE CANTEIRO E SUPORTES TÉCNICOS</t>
  </si>
  <si>
    <t>01.001.002.008</t>
  </si>
  <si>
    <t>01.01.02.09</t>
  </si>
  <si>
    <t>C12643</t>
  </si>
  <si>
    <t>SERVIÇO DE INSTALAÇÃO DE TAPUME</t>
  </si>
  <si>
    <t>01.001.002.009</t>
  </si>
  <si>
    <t>01.01.02.11</t>
  </si>
  <si>
    <t>C19930</t>
  </si>
  <si>
    <t>RETIRADA DE TAPUME</t>
  </si>
  <si>
    <t>01.001.002.010</t>
  </si>
  <si>
    <t>01.01.02.13</t>
  </si>
  <si>
    <t>C15008</t>
  </si>
  <si>
    <t>SERVIÇO DE SERRALHERIA EM GERAL</t>
  </si>
  <si>
    <t>01.001.002.011</t>
  </si>
  <si>
    <t>01.01.02.14</t>
  </si>
  <si>
    <t>C15194</t>
  </si>
  <si>
    <t>TAPUME</t>
  </si>
  <si>
    <t>01.001.002.012</t>
  </si>
  <si>
    <t>01.01.02.15</t>
  </si>
  <si>
    <t>C14351</t>
  </si>
  <si>
    <t>ELABORAÇÃO DE PROJETO - IMPLANTAÇÃO DE SUBESTAÇÃO</t>
  </si>
  <si>
    <t>01.001.002.013</t>
  </si>
  <si>
    <t>01.01.02.17</t>
  </si>
  <si>
    <t>C18702</t>
  </si>
  <si>
    <t>PLACAS DE OBRA</t>
  </si>
  <si>
    <t>01.001.002.014</t>
  </si>
  <si>
    <t>01.02.00</t>
  </si>
  <si>
    <t>DEMOLIÇÕES GERAIS</t>
  </si>
  <si>
    <t>01.001.003</t>
  </si>
  <si>
    <t>CSF7.04</t>
  </si>
  <si>
    <t>DEMOLIÇÃO.</t>
  </si>
  <si>
    <t>01.001.003.001</t>
  </si>
  <si>
    <t>01.02.02</t>
  </si>
  <si>
    <t>MOVIMENTO DE TERRA</t>
  </si>
  <si>
    <t>01.001.004</t>
  </si>
  <si>
    <t>01.02.02.01</t>
  </si>
  <si>
    <t>C17788</t>
  </si>
  <si>
    <t>FORNECIMENTO, CARGA E TRANSPORTE DE MATERIAL 1ª CATEGORIA</t>
  </si>
  <si>
    <t>01.001.004.001</t>
  </si>
  <si>
    <t>01.02.02.02</t>
  </si>
  <si>
    <t>C18662</t>
  </si>
  <si>
    <t>LOCAÇÃO MENSAL DE RETROESCAVADEIRA COM OPERADOR / DIESEL</t>
  </si>
  <si>
    <t>01.001.004.002</t>
  </si>
  <si>
    <t>01.02.03</t>
  </si>
  <si>
    <t>INFRA-ESTRUTURA</t>
  </si>
  <si>
    <t>01.001.005</t>
  </si>
  <si>
    <t>01.02.03.01</t>
  </si>
  <si>
    <t>C17174</t>
  </si>
  <si>
    <t>MOBILIZAÇÃO DE EQUIPAMENTOS</t>
  </si>
  <si>
    <t>01.001.005.001</t>
  </si>
  <si>
    <t>01.02.03.02</t>
  </si>
  <si>
    <t>CO000061</t>
  </si>
  <si>
    <t>SERVICO DE ESCAVACAO DE ESTACA CONVENCIONAL MECANICAMENTE - DIAM 30CM</t>
  </si>
  <si>
    <t>01.001.005.002</t>
  </si>
  <si>
    <t>01.02.03.03</t>
  </si>
  <si>
    <t>CO061</t>
  </si>
  <si>
    <t>RETIRADA DE MATERIAL DE BOTA FORA</t>
  </si>
  <si>
    <t>01.02.03.04</t>
  </si>
  <si>
    <t>C14578</t>
  </si>
  <si>
    <t>SERVIÇO DE FUNDAÇÃO - PREPARAÇÃO DA CABEÇA DA ESTACA METÁLICA</t>
  </si>
  <si>
    <t>01.02.03.05</t>
  </si>
  <si>
    <t>CO854</t>
  </si>
  <si>
    <t>SERVIÇO DE PREPARAÇÃO DE CORTE E REPARO EM ESTACAS</t>
  </si>
  <si>
    <t>01.02.03.06</t>
  </si>
  <si>
    <t>CO000007</t>
  </si>
  <si>
    <t>CONCRETO USINADO 25MPA - SLUMP 14±2 - BRITA 0 - COM ½ ADITIVO (ADITIVO POLIFUNCIONAL) - NBR 12655</t>
  </si>
  <si>
    <t>01.02.03.07</t>
  </si>
  <si>
    <t>CO441</t>
  </si>
  <si>
    <t>LANÇAMENTO DE CONCRETO</t>
  </si>
  <si>
    <t>01.02.03.08</t>
  </si>
  <si>
    <t>CO253</t>
  </si>
  <si>
    <t>CONTROLE TECNOLOGICO DO CONCRETO (ESTRUTURA)</t>
  </si>
  <si>
    <t>01.02.03.09</t>
  </si>
  <si>
    <t>C18726</t>
  </si>
  <si>
    <t>RETROESCAVADEIRA</t>
  </si>
  <si>
    <t>01.02.03.10</t>
  </si>
  <si>
    <t>CO056</t>
  </si>
  <si>
    <t>ESCAVAÇÃO MANUAL DE BLOCOS</t>
  </si>
  <si>
    <t>01.02.03.11</t>
  </si>
  <si>
    <t>CO062</t>
  </si>
  <si>
    <t>REATERRO COMPACTADO</t>
  </si>
  <si>
    <t>01.02.03.12</t>
  </si>
  <si>
    <t>01.02.03.13</t>
  </si>
  <si>
    <t>C18737</t>
  </si>
  <si>
    <t>LASTRO DE CONCRETO MAGRO</t>
  </si>
  <si>
    <t>01.02.03.14</t>
  </si>
  <si>
    <t>CO432</t>
  </si>
  <si>
    <t>MONTAGEM/DESMONTAGEM DE FORMA</t>
  </si>
  <si>
    <t>01.02.03.15</t>
  </si>
  <si>
    <t>CO430</t>
  </si>
  <si>
    <t>CORTE, DOBRA E MONTAGEM DE AÇO</t>
  </si>
  <si>
    <t>01.02.03.16</t>
  </si>
  <si>
    <t>CO073</t>
  </si>
  <si>
    <t>CONCRETO USINADO BOMBEÁVEL FCK 50 MPA, BRITA 0 E 1 E SLUMP 16+-2</t>
  </si>
  <si>
    <t>01.02.03.17</t>
  </si>
  <si>
    <t>01.02.03.18</t>
  </si>
  <si>
    <t>01.02.03.19</t>
  </si>
  <si>
    <t>CO028</t>
  </si>
  <si>
    <t>CONFECÇÃO DE FORMA CONTENÇÃO</t>
  </si>
  <si>
    <t>01.02.04</t>
  </si>
  <si>
    <t>ESTRUTURA</t>
  </si>
  <si>
    <t>01.02.04.01</t>
  </si>
  <si>
    <t>C14427</t>
  </si>
  <si>
    <t>SERVIÇO DE EXECUÇÃO DE CONFECÇÃO DE FORMA</t>
  </si>
  <si>
    <t>01.02.04.02</t>
  </si>
  <si>
    <t>01.02.04.03</t>
  </si>
  <si>
    <t>01.02.04.04</t>
  </si>
  <si>
    <t>CO071</t>
  </si>
  <si>
    <t>CONCRETO USINADO BOMBEÁVEL FCK 40 MPA, BRITA 0 E SLUMP 22+-3</t>
  </si>
  <si>
    <t>01.02.04.05</t>
  </si>
  <si>
    <t>CO078</t>
  </si>
  <si>
    <t>TAXA DE BOMBA DE CONCRETO ATÉ A 35º LAJE</t>
  </si>
  <si>
    <t>01.02.04.06</t>
  </si>
  <si>
    <t>CO552</t>
  </si>
  <si>
    <t>LANÇAMENTO DE CONCRETO PISO VASSOURADO</t>
  </si>
  <si>
    <t>01.02.04.07</t>
  </si>
  <si>
    <t>01.02.04.08</t>
  </si>
  <si>
    <t>C18745</t>
  </si>
  <si>
    <t>IMPERMEABILIZAÇÃO DE BALDRAME</t>
  </si>
  <si>
    <t>01.02.04.09</t>
  </si>
  <si>
    <t>01.02.04.10</t>
  </si>
  <si>
    <t>C15721</t>
  </si>
  <si>
    <t>SERVIÇO DE EXECUÇÃO DE MONTAGEM DE ESTRUTURA METÁLICA</t>
  </si>
  <si>
    <t>01.02.04.11</t>
  </si>
  <si>
    <t>01.02.04.12</t>
  </si>
  <si>
    <t>C19931</t>
  </si>
  <si>
    <t>DEMOLIÇÃO DE ESTRUTRURA METÁLICA</t>
  </si>
  <si>
    <t>01.02.05</t>
  </si>
  <si>
    <t>PAREDES/VEDAÇÕES</t>
  </si>
  <si>
    <t>01.02.05.01</t>
  </si>
  <si>
    <t>CO085</t>
  </si>
  <si>
    <t>ALV. DE TIJOLO CER. FURADO 14X19X29 CM</t>
  </si>
  <si>
    <t>01.02.05.02</t>
  </si>
  <si>
    <t>CO082</t>
  </si>
  <si>
    <t>MARCAÇÃO DE ALVENARIA</t>
  </si>
  <si>
    <t>01.02.05.03</t>
  </si>
  <si>
    <t>C15146</t>
  </si>
  <si>
    <t>SERVIÇO DE EXECUÇÃO DE ENCUNHAMENTO DE ALVENARIA</t>
  </si>
  <si>
    <t>01.02.05.04</t>
  </si>
  <si>
    <t>CO089</t>
  </si>
  <si>
    <t>VERGA DE CONCRETO</t>
  </si>
  <si>
    <t>01.02.05.05</t>
  </si>
  <si>
    <t>CO090</t>
  </si>
  <si>
    <t>CONTRAVERGA EM CONCRETO</t>
  </si>
  <si>
    <t>01.02.05.06</t>
  </si>
  <si>
    <t>C19932</t>
  </si>
  <si>
    <t>PAREDE DE DRY WALL 7CM</t>
  </si>
  <si>
    <t>01.02.05.07</t>
  </si>
  <si>
    <t>C13274</t>
  </si>
  <si>
    <t>SERVIÇO DE EXECUÇÃO DE GESSO ACARTONADO - SHAFT COM PLACA ST</t>
  </si>
  <si>
    <t>01.02.05.08</t>
  </si>
  <si>
    <t>C13272</t>
  </si>
  <si>
    <t>SERVIÇO DE EXECUÇÃO DE GESSO ACARTONADO - SHAFT COM PLACA RU</t>
  </si>
  <si>
    <t>01.02.05.09</t>
  </si>
  <si>
    <t>C19654</t>
  </si>
  <si>
    <t>SERVIÇO DE EXECUÇÃO DE DRYWALL EM PAREDE DUPLA 70MM - PLACA ST/RU</t>
  </si>
  <si>
    <t>01.02.05.10</t>
  </si>
  <si>
    <t>CO215</t>
  </si>
  <si>
    <t>PAINEL FITNESS</t>
  </si>
  <si>
    <t>01.02.06</t>
  </si>
  <si>
    <t>ESQUADRIAS DE MADEIRA</t>
  </si>
  <si>
    <t>01.02.06.01</t>
  </si>
  <si>
    <t>CO479</t>
  </si>
  <si>
    <t>PM2 - PORTA DE MADEIRA, ABRIR (1 FOLHA) 70X210X18</t>
  </si>
  <si>
    <t>01.02.06.02</t>
  </si>
  <si>
    <t>CO124</t>
  </si>
  <si>
    <t>PM3 - PORTA DE MADEIRA, ABRIR (1 FOLHA) 80X210X10</t>
  </si>
  <si>
    <t>01.02.06.03</t>
  </si>
  <si>
    <t>CO481</t>
  </si>
  <si>
    <t>FRETE PORTAS DE MADEIRA</t>
  </si>
  <si>
    <t>01.02.06.04</t>
  </si>
  <si>
    <t>C11171</t>
  </si>
  <si>
    <t>SERVIÇO DE IMAGENS PARA PUBLICIDADE (AVULSO)</t>
  </si>
  <si>
    <t>01.02.06.05</t>
  </si>
  <si>
    <t>C13422</t>
  </si>
  <si>
    <t>SERVIÇO DE INSTALAÇÃO DE BOX</t>
  </si>
  <si>
    <t>01.02.06.06</t>
  </si>
  <si>
    <t>CO904</t>
  </si>
  <si>
    <t>KIT PORTA PRONTA EM MADEIRA 80 X 210 COM FECHADURA E DOBRADIÇAS</t>
  </si>
  <si>
    <t>01.02.06.07</t>
  </si>
  <si>
    <t>C19567</t>
  </si>
  <si>
    <t>KIT PORTA PRONTA DE CORRER INTERNA 80X210M</t>
  </si>
  <si>
    <t>01.02.06.08</t>
  </si>
  <si>
    <t>CO243</t>
  </si>
  <si>
    <t>FECHADURA PADO,(INTERNA/EXTERNA) EXCETO PORTAS DE ENTRADA</t>
  </si>
  <si>
    <t>01.02.07</t>
  </si>
  <si>
    <t>ESQUADRIAS METÁLICAS</t>
  </si>
  <si>
    <t>01.02.07.01</t>
  </si>
  <si>
    <t>CO900</t>
  </si>
  <si>
    <t>ESQUADRIA EM ALUMÍNIO COM VIDRO TEMPERADO E PINTURA ELETROSTÁTICA</t>
  </si>
  <si>
    <t>01.02.07.02</t>
  </si>
  <si>
    <t>C19933</t>
  </si>
  <si>
    <t>SPIDER GLASS COM SUSTENTAÇÃO EM VIDRO E SPIDER</t>
  </si>
  <si>
    <t>01.02.07.03</t>
  </si>
  <si>
    <t>CO488</t>
  </si>
  <si>
    <t>PROTEÇÃO DE ESQUADRIA</t>
  </si>
  <si>
    <t>01.02.07.04</t>
  </si>
  <si>
    <t>CO152</t>
  </si>
  <si>
    <t>VIDRO LAMINADO INCOLOR 8MM (JANELAS FIXO)</t>
  </si>
  <si>
    <t>01.02.07.05</t>
  </si>
  <si>
    <t>C19725</t>
  </si>
  <si>
    <t>SERVIÇO DE EXECUÇÃO DE ALAMBRADO</t>
  </si>
  <si>
    <t>01.02.07.06</t>
  </si>
  <si>
    <t>CO105</t>
  </si>
  <si>
    <t>GUARDA CORPO METÁLICO COM PINTURA ELETROSTÁTICA COR GRAFITE</t>
  </si>
  <si>
    <t>01.02.07.07</t>
  </si>
  <si>
    <t>01.02.07.08</t>
  </si>
  <si>
    <t>CO127</t>
  </si>
  <si>
    <t>GUARDA CORPO DE ALUMÍNIO E VIDRO LAMINADO INCOLOR</t>
  </si>
  <si>
    <t>01.02.07.09</t>
  </si>
  <si>
    <t>CO670</t>
  </si>
  <si>
    <t>ESCADA MARINHEIRO COM GUARDA CORPO</t>
  </si>
  <si>
    <t>01.02.07.10</t>
  </si>
  <si>
    <t>C19062</t>
  </si>
  <si>
    <t>ESCADA MARINHEIRO</t>
  </si>
  <si>
    <t>01.02.07.11</t>
  </si>
  <si>
    <t>C16002</t>
  </si>
  <si>
    <t>SERVIÇO DE INSTALAÇÃO DE PORTA DE ENROLAR - INCLUSO MATERIAL</t>
  </si>
  <si>
    <t>01.02.08</t>
  </si>
  <si>
    <t>INSTALACOES ELETRICAS/TELEFONICAS</t>
  </si>
  <si>
    <t>01.02.08.01</t>
  </si>
  <si>
    <t>CO803</t>
  </si>
  <si>
    <t>INSTALAÇÕES ELÉTRICAS / TELEFONICAS: FIAÇÃO E CABOS</t>
  </si>
  <si>
    <t>01.02.08.02</t>
  </si>
  <si>
    <t>C17223</t>
  </si>
  <si>
    <t>GERADOR</t>
  </si>
  <si>
    <t>01.02.08.03</t>
  </si>
  <si>
    <t>C17703</t>
  </si>
  <si>
    <t>SERVIÇO DE MANUTENÇÃO / REFORMA - ADEQUAÇÕES ELÉTRICAS</t>
  </si>
  <si>
    <t>01.02.08.04</t>
  </si>
  <si>
    <t>COMP007170</t>
  </si>
  <si>
    <t>ENTRADA DE ENERGIA - MATERIAL</t>
  </si>
  <si>
    <t>01.02.08.05</t>
  </si>
  <si>
    <t>C17806</t>
  </si>
  <si>
    <t>SERVIÇO DE INSTALAÇÃO DE INFRA PARA AR-CONDICIONADO / CLIMATIZADOR</t>
  </si>
  <si>
    <t>01.02.08.06</t>
  </si>
  <si>
    <t>CO225</t>
  </si>
  <si>
    <t>SISTEMA DE DETECÇÃO E ALARME DE INCÊNDIO (SDAI)</t>
  </si>
  <si>
    <t>01.02.08.07</t>
  </si>
  <si>
    <t>COMP007181</t>
  </si>
  <si>
    <t>SPDA - MATERIAL</t>
  </si>
  <si>
    <t>01.02.08.08</t>
  </si>
  <si>
    <t>C00523</t>
  </si>
  <si>
    <t>INSTALACAO SPDA</t>
  </si>
  <si>
    <t>01.02.08.09</t>
  </si>
  <si>
    <t>CO103</t>
  </si>
  <si>
    <t>LUMINÁRIAS DA ÁREA COMUM</t>
  </si>
  <si>
    <t>01.02.08.10</t>
  </si>
  <si>
    <t>C00693</t>
  </si>
  <si>
    <t>LUMINARIAS</t>
  </si>
  <si>
    <t>01.02.08.11</t>
  </si>
  <si>
    <t>C18772</t>
  </si>
  <si>
    <t>LUMINARIA DE EMERGENCIA</t>
  </si>
  <si>
    <t>01.02.08.12</t>
  </si>
  <si>
    <t>C00596</t>
  </si>
  <si>
    <t>INSTALACAO DE DADOS ESTRUTURADOS</t>
  </si>
  <si>
    <t>01.02.08.13</t>
  </si>
  <si>
    <t>C18556</t>
  </si>
  <si>
    <t>SERVIÇO DE EXECUÇÃO DE  INFRAESTRUTURA</t>
  </si>
  <si>
    <t>01.02.08.14</t>
  </si>
  <si>
    <t>C00420</t>
  </si>
  <si>
    <t>INSTALACAO DE REDE ELETRICA (EXTERNO)</t>
  </si>
  <si>
    <t>01.02.08.15</t>
  </si>
  <si>
    <t>C18082</t>
  </si>
  <si>
    <t>INSTALAÇÃO DE LUMINÁRIAS</t>
  </si>
  <si>
    <t>01.02.09</t>
  </si>
  <si>
    <t>INSTALAÇÕES HIDRO-SANITÁRIAS</t>
  </si>
  <si>
    <t>01.02.09.01</t>
  </si>
  <si>
    <t>COMP007187</t>
  </si>
  <si>
    <t>ÁGUA FRIA</t>
  </si>
  <si>
    <t>01.02.09.02</t>
  </si>
  <si>
    <t>01.02.09.03</t>
  </si>
  <si>
    <t>C19333</t>
  </si>
  <si>
    <t>SERVIÇO DE INSTALAÇÃO DE SHAFTS PLACA ROSA RF - MO</t>
  </si>
  <si>
    <t>01.02.09.04</t>
  </si>
  <si>
    <t>C19934</t>
  </si>
  <si>
    <t>RASGO E RECUPERAÇÃO DE PISO PARA PASSAGEM DE INSTALAÇÕES</t>
  </si>
  <si>
    <t>01.02.10</t>
  </si>
  <si>
    <t>INSTALACOES ESPECIAIS</t>
  </si>
  <si>
    <t>01.02.10.01</t>
  </si>
  <si>
    <t>C00700</t>
  </si>
  <si>
    <t>ELEVADOR</t>
  </si>
  <si>
    <t>01.02.10.02</t>
  </si>
  <si>
    <t>C17795</t>
  </si>
  <si>
    <t>PAVIMENTOS EXTERNOS</t>
  </si>
  <si>
    <t>01.02.10.03</t>
  </si>
  <si>
    <t>C00533</t>
  </si>
  <si>
    <t>EQUIPAMENTOS DE AR CONDICIONADO</t>
  </si>
  <si>
    <t>01.02.10.04</t>
  </si>
  <si>
    <t>C00530</t>
  </si>
  <si>
    <t>EXAUSTAO MECANICA</t>
  </si>
  <si>
    <t>01.02.10.05</t>
  </si>
  <si>
    <t>C19935</t>
  </si>
  <si>
    <t>PONTO DE SPK</t>
  </si>
  <si>
    <t>01.02.10.06</t>
  </si>
  <si>
    <t>C11349</t>
  </si>
  <si>
    <t>SERVIÇO DE EXECUÇÃO DE TUBULAÇÃO / CAIXA (HIDRANTE) INTERNA NO HALL INCÊNDIO</t>
  </si>
  <si>
    <t>01.02.10.07</t>
  </si>
  <si>
    <t>C17229</t>
  </si>
  <si>
    <t>INSTALAÇÕES MECÂNICAS DIVERSAS</t>
  </si>
  <si>
    <t>01.02.10.09</t>
  </si>
  <si>
    <t>C12143</t>
  </si>
  <si>
    <t>SERVIÇO DE EXECUÇÃO DE ARRIMO</t>
  </si>
  <si>
    <t>01.02.10.10</t>
  </si>
  <si>
    <t>C19369</t>
  </si>
  <si>
    <t>ALVENARIA ESTRUTURAL</t>
  </si>
  <si>
    <t>01.02.10.11</t>
  </si>
  <si>
    <t>C15965</t>
  </si>
  <si>
    <t>SERVIÇO DE EXECUÇÃO DE REBOCO</t>
  </si>
  <si>
    <t>01.02.10.12</t>
  </si>
  <si>
    <t>C12225</t>
  </si>
  <si>
    <t>SERVIÇO DE EXECUÇÃO DE LIMPEZA DAS CAIXAS DE PASSAGEM</t>
  </si>
  <si>
    <t>01.02.10.13</t>
  </si>
  <si>
    <t>C00520</t>
  </si>
  <si>
    <t>INSTALACAO ELETRICA</t>
  </si>
  <si>
    <t>01.02.10.14</t>
  </si>
  <si>
    <t>C19936</t>
  </si>
  <si>
    <t>CABO HOMOLOGADO [MARCA]</t>
  </si>
  <si>
    <t>01.02.10.15</t>
  </si>
  <si>
    <t>C19593</t>
  </si>
  <si>
    <t>ILUMINAÇÃO - ÁREA COMUM</t>
  </si>
  <si>
    <t>01.02.10.17</t>
  </si>
  <si>
    <t>C19937</t>
  </si>
  <si>
    <t>PAINEL DE LED  (HOMOLOGADO)</t>
  </si>
  <si>
    <t>01.02.11</t>
  </si>
  <si>
    <t>LOUÇAS / METAIS / BANCADAS</t>
  </si>
  <si>
    <t>01.02.11.01</t>
  </si>
  <si>
    <t>C19938</t>
  </si>
  <si>
    <t>BACIA SANITÁRIA CONVENCIONAL (HOMOLOGADO)</t>
  </si>
  <si>
    <t>01.02.11.02</t>
  </si>
  <si>
    <t>C19576</t>
  </si>
  <si>
    <t>TANQUE MARMORE SINTETICO</t>
  </si>
  <si>
    <t>01.02.11.03</t>
  </si>
  <si>
    <t>C19939</t>
  </si>
  <si>
    <t>MICTÓRIO TOUCHLESS - KOHLER (CÓD. K-16321BR-SS-0) / MICTÓRIO RIMLESS ROCA (CÓD: A3590JF00B) OU SIMILAR</t>
  </si>
  <si>
    <t>01.02.11.04</t>
  </si>
  <si>
    <t>C19940</t>
  </si>
  <si>
    <t>CUBA QUADRADA DE PISO. MEDIDAS: 42X90X44 - OFFICINA PORTOBELLO. ACABAMENTO: CORPO: TROPEZIENDE CENTRE E DETALHE NA LATERAL: ANIMA DI MARMO</t>
  </si>
  <si>
    <t>01.02.11.05</t>
  </si>
  <si>
    <t>C19941</t>
  </si>
  <si>
    <t>LAVATÓRIO SUSPENSO BENEFIT COM COLUNA PCD. (CÓD. 12019585026 / CÓD. 12019584026)</t>
  </si>
  <si>
    <t>01.02.11.06</t>
  </si>
  <si>
    <t>C19942</t>
  </si>
  <si>
    <t>KIT BACIA COM CAIXA ACOPLADA VOGUE PLUS - DECA</t>
  </si>
  <si>
    <t>01.02.11.07</t>
  </si>
  <si>
    <t>C00602</t>
  </si>
  <si>
    <t>ESPELHO</t>
  </si>
  <si>
    <t>01.02.11.08</t>
  </si>
  <si>
    <t>CO868</t>
  </si>
  <si>
    <t>INSTALAÇÕES HIDRO-SANITÁRIAS: REGISTRO DE PRESSAO</t>
  </si>
  <si>
    <t>01.02.11.09</t>
  </si>
  <si>
    <t>CO869</t>
  </si>
  <si>
    <t>INSTALAÇÕES HIDRO-SANITÁRIAS: REGISTROS - GAVETA</t>
  </si>
  <si>
    <t>01.02.11.10</t>
  </si>
  <si>
    <t>C19578</t>
  </si>
  <si>
    <t>TORNEIRA DE MESA BICA BAIXA PARA LAVATÓRIO</t>
  </si>
  <si>
    <t>01.02.11.11</t>
  </si>
  <si>
    <t>C18794</t>
  </si>
  <si>
    <t>TORNEIRA PARA TANQUE</t>
  </si>
  <si>
    <t>01.02.11.12</t>
  </si>
  <si>
    <t>C12713</t>
  </si>
  <si>
    <t>SERVIÇO DE HIGIENIZAÇÃO DE TOALHA BANHO</t>
  </si>
  <si>
    <t>01.02.11.13</t>
  </si>
  <si>
    <t>CO303</t>
  </si>
  <si>
    <t>BARRA DE APOIO 450 MM ACESSO CE - B5001CXR0</t>
  </si>
  <si>
    <t>01.02.11.14</t>
  </si>
  <si>
    <t>01.02.11.15</t>
  </si>
  <si>
    <t>C12412</t>
  </si>
  <si>
    <t>SERVIÇO DE EXECUÇÃO DE LIMPEZA DE PAREDE COM ESCOVAÇÃO</t>
  </si>
  <si>
    <t>01.02.11.16</t>
  </si>
  <si>
    <t>CO863</t>
  </si>
  <si>
    <t>INSTALAÇÕES HIDRO-SANITÁRIAS: VÁLVULA LAVATÓRIO</t>
  </si>
  <si>
    <t>01.02.11.17</t>
  </si>
  <si>
    <t>01.02.11.18</t>
  </si>
  <si>
    <t>CO305</t>
  </si>
  <si>
    <t>BARRA DE APOIO 800 MM ACESSO - B5003CXR0</t>
  </si>
  <si>
    <t>01.02.11.19</t>
  </si>
  <si>
    <t>C17777</t>
  </si>
  <si>
    <t>LOCAÇÃO DE MISTURADOR DE EIXO HORIZONTAL POR BATELADA</t>
  </si>
  <si>
    <t>01.02.11.20</t>
  </si>
  <si>
    <t>CO312</t>
  </si>
  <si>
    <t>BANCADA EM GRANITO BRANCO DALLAS</t>
  </si>
  <si>
    <t>01.02.11.21</t>
  </si>
  <si>
    <t>C18193</t>
  </si>
  <si>
    <t>BANCADA BRANCO SIENA 1,40X0,60</t>
  </si>
  <si>
    <t>01.02.11.22</t>
  </si>
  <si>
    <t>CO149</t>
  </si>
  <si>
    <t>ASSENTAMENTO DE BANCADAS</t>
  </si>
  <si>
    <t>01.02.11.23</t>
  </si>
  <si>
    <t>CO150</t>
  </si>
  <si>
    <t>PROTEÇÃO PARA BANCADAS</t>
  </si>
  <si>
    <t>01.02.11.24</t>
  </si>
  <si>
    <t>CO151</t>
  </si>
  <si>
    <t>COLAGEM DE CUBA DE LOUÇA OU INOX</t>
  </si>
  <si>
    <t>01.02.11.25</t>
  </si>
  <si>
    <t>C18873</t>
  </si>
  <si>
    <t>FURAÇÃO / CALAFETAÇÃO DE FUROS HIDRAULICOS</t>
  </si>
  <si>
    <t>01.02.11.26</t>
  </si>
  <si>
    <t>C15213</t>
  </si>
  <si>
    <t>DIVISORIAS SANITARIAS</t>
  </si>
  <si>
    <t>01.02.12</t>
  </si>
  <si>
    <t>IMPERMEABILIZAÇÃO</t>
  </si>
  <si>
    <t>01.02.12.01</t>
  </si>
  <si>
    <t>CO433</t>
  </si>
  <si>
    <t>PREPARO DE SUPERFÍCIE</t>
  </si>
  <si>
    <t>01.02.12.02</t>
  </si>
  <si>
    <t>CO163</t>
  </si>
  <si>
    <t>REGULARIZAÇÃO PARA IMPERMEABILIZAÇÃO</t>
  </si>
  <si>
    <t>01.02.12.03</t>
  </si>
  <si>
    <t>CO435</t>
  </si>
  <si>
    <t>PROTEÇÃO MECÂNICA DE IMPERMEABILIZAÇÃO</t>
  </si>
  <si>
    <t>01.02.12.04</t>
  </si>
  <si>
    <t>01.02.12.05</t>
  </si>
  <si>
    <t>CO165</t>
  </si>
  <si>
    <t>MANTA ASFÁLTICA 4 MM TIPO III B PP ADERIDA COM MAÇARICO</t>
  </si>
  <si>
    <t>01.02.12.06</t>
  </si>
  <si>
    <t>CO164</t>
  </si>
  <si>
    <t>ARGAMASSA POLIMÉRICA (3,0 KG/M²)</t>
  </si>
  <si>
    <t>01.02.12.07</t>
  </si>
  <si>
    <t>01.02.13</t>
  </si>
  <si>
    <t>REVESTIMENTOS DE PAREDES INTERNAS</t>
  </si>
  <si>
    <t>01.02.13.01</t>
  </si>
  <si>
    <t>CO154</t>
  </si>
  <si>
    <t>TALISCA DE PAREDE INTERNA</t>
  </si>
  <si>
    <t>01.02.13.02</t>
  </si>
  <si>
    <t>CO155</t>
  </si>
  <si>
    <t>CHAPISCO INTERNO</t>
  </si>
  <si>
    <t>01.02.13.03</t>
  </si>
  <si>
    <t>C14587</t>
  </si>
  <si>
    <t>REBOCO PAULISTA EM PAREDES - TIPO</t>
  </si>
  <si>
    <t>01.02.13.04</t>
  </si>
  <si>
    <t>C19735</t>
  </si>
  <si>
    <t>SERVIÇO DE REJUNTAMENTO DE REVESTIMENTO CERÂMICO DE PAREDES</t>
  </si>
  <si>
    <t>01.02.14</t>
  </si>
  <si>
    <t>REVESTIMENTOS DE PAREDES EXTERNAS</t>
  </si>
  <si>
    <t>01.02.14.01</t>
  </si>
  <si>
    <t>CO267</t>
  </si>
  <si>
    <t>TALISCA DE PAREDE EXTERNA</t>
  </si>
  <si>
    <t>01.02.14.02</t>
  </si>
  <si>
    <t>CO268</t>
  </si>
  <si>
    <t>CHAPISCO EXTERNO</t>
  </si>
  <si>
    <t>01.02.14.03</t>
  </si>
  <si>
    <t>CO269</t>
  </si>
  <si>
    <t>REBOCO EXTERNO 4CM</t>
  </si>
  <si>
    <t>01.02.14.04</t>
  </si>
  <si>
    <t>CO415</t>
  </si>
  <si>
    <t>FRISO REBAIXADO 2X1,5CM HORIZONTAL</t>
  </si>
  <si>
    <t>01.02.14.05</t>
  </si>
  <si>
    <t>C18806</t>
  </si>
  <si>
    <t>PEITORIL EM GRANITO</t>
  </si>
  <si>
    <t>01.02.15</t>
  </si>
  <si>
    <t>FORROS/COBERTURA</t>
  </si>
  <si>
    <t>01.02.15.01</t>
  </si>
  <si>
    <t>C13263</t>
  </si>
  <si>
    <t>SERVIÇO DE EXECUÇÃO DE FORRO DE GESSO ACARTONADO - ALVENARIA</t>
  </si>
  <si>
    <t>01.02.15.02</t>
  </si>
  <si>
    <t>CO263</t>
  </si>
  <si>
    <t>TABICA DE GESSO 5CM</t>
  </si>
  <si>
    <t>01.02.15.03</t>
  </si>
  <si>
    <t>C19184</t>
  </si>
  <si>
    <t>SERVIÇO DE FECHAMENTO DE GESSO</t>
  </si>
  <si>
    <t>01.02.15.04</t>
  </si>
  <si>
    <t>C12180</t>
  </si>
  <si>
    <t>SERVIÇO DE EXECUÇÃO DE IDENTIFICAÇÃO DAS CAIXAS</t>
  </si>
  <si>
    <t>01.02.15.05</t>
  </si>
  <si>
    <t>CO522</t>
  </si>
  <si>
    <t>SANCA ILUMINADA</t>
  </si>
  <si>
    <t>01.02.15.06</t>
  </si>
  <si>
    <t>C17070</t>
  </si>
  <si>
    <t>EXECUÇÃO DE BASE DE SOLO</t>
  </si>
  <si>
    <t>01.02.15.07</t>
  </si>
  <si>
    <t>C18813</t>
  </si>
  <si>
    <t>FORRO EM PLACAS DE GESSO</t>
  </si>
  <si>
    <t>01.02.15.08</t>
  </si>
  <si>
    <t>C12489</t>
  </si>
  <si>
    <t>RESERVIÇO DE EXECUÇÃO DE TELHADO</t>
  </si>
  <si>
    <t>01.02.15.09</t>
  </si>
  <si>
    <t>C15279</t>
  </si>
  <si>
    <t>TELHA</t>
  </si>
  <si>
    <t>01.02.15.10</t>
  </si>
  <si>
    <t>C00548</t>
  </si>
  <si>
    <t>RUFOS / CALHAS</t>
  </si>
  <si>
    <t>01.02.15.11</t>
  </si>
  <si>
    <t>C00581</t>
  </si>
  <si>
    <t>COBERTURAS</t>
  </si>
  <si>
    <t>01.02.15.12</t>
  </si>
  <si>
    <t>C00638</t>
  </si>
  <si>
    <t>FORRO DE TETO - ED. USO COMUM</t>
  </si>
  <si>
    <t>01.02.16</t>
  </si>
  <si>
    <t>PAVIMENTAÇÃO</t>
  </si>
  <si>
    <t>01.02.16.01</t>
  </si>
  <si>
    <t>C17292</t>
  </si>
  <si>
    <t>SERVICO DE TRALISCAMENTO DE CONTRAPISO</t>
  </si>
  <si>
    <t>01.02.16.02</t>
  </si>
  <si>
    <t>CO444</t>
  </si>
  <si>
    <t>CONTRAPISO - LAJE SUBPRESSÃO</t>
  </si>
  <si>
    <t>01.02.16.03</t>
  </si>
  <si>
    <t>C19622</t>
  </si>
  <si>
    <t>PINTURA EPÓXI DE PISO</t>
  </si>
  <si>
    <t>01.02.16.04</t>
  </si>
  <si>
    <t>01.02.16.05</t>
  </si>
  <si>
    <t>01.02.16.06</t>
  </si>
  <si>
    <t>01.02.16.07</t>
  </si>
  <si>
    <t>C19943</t>
  </si>
  <si>
    <t>QUARTZO BRANCO</t>
  </si>
  <si>
    <t>01.02.16.08</t>
  </si>
  <si>
    <t>CO178</t>
  </si>
  <si>
    <t>PORCELANATO PORTOBELLO PIETRA DI FIRENZE GRIGIO NAT. RET. 60X60CM - CÓD.:22852E {P2}</t>
  </si>
  <si>
    <t>01.02.16.09</t>
  </si>
  <si>
    <t>C15287</t>
  </si>
  <si>
    <t>PAVER</t>
  </si>
  <si>
    <t>01.02.16.10</t>
  </si>
  <si>
    <t>C15284</t>
  </si>
  <si>
    <t>SOLEIRAS</t>
  </si>
  <si>
    <t>01.02.16.11</t>
  </si>
  <si>
    <t>C19944</t>
  </si>
  <si>
    <t>ENCHIMENTO DE PISO</t>
  </si>
  <si>
    <t>01.02.16.12</t>
  </si>
  <si>
    <t>C00568</t>
  </si>
  <si>
    <t>PINTURA SOBRE PISO</t>
  </si>
  <si>
    <t>01.02.16.13</t>
  </si>
  <si>
    <t>C18826</t>
  </si>
  <si>
    <t>REGULARIZAÇÃO DA ESCADA</t>
  </si>
  <si>
    <t>01.02.16.14</t>
  </si>
  <si>
    <t>CO365</t>
  </si>
  <si>
    <t>SOLEIRA EM GRANITO CINZA ANDORINHA, L=18 CM</t>
  </si>
  <si>
    <t>01.02.16.15</t>
  </si>
  <si>
    <t>C18835</t>
  </si>
  <si>
    <t>SOLEIRA EM GRANITO</t>
  </si>
  <si>
    <t>01.02.16.18</t>
  </si>
  <si>
    <t>C19947</t>
  </si>
  <si>
    <t>COLA TACKFIX 3,50KGS REF. 9334014 (HOMOLOGADO)</t>
  </si>
  <si>
    <t>01.02.16.19</t>
  </si>
  <si>
    <t>C19948</t>
  </si>
  <si>
    <t>RODAPÉ DE POLIESTIRENO FORT CORPORATIVO SL 101 RP/B H=10CM LISO - BRANCO (HOMOLOGADO)</t>
  </si>
  <si>
    <t>01.02.16.20</t>
  </si>
  <si>
    <t>C19949</t>
  </si>
  <si>
    <t>COLA RPD - ROD POLIESTIRENO - GALAO 5KG (HOMOLOGADO)</t>
  </si>
  <si>
    <t>01.02.16.21</t>
  </si>
  <si>
    <t>C19950</t>
  </si>
  <si>
    <t>TAPETE [MARCA] CUT PILE 100 4,18X4,92M (ORGÂNICO)  (HOMOLOGADO)</t>
  </si>
  <si>
    <t>01.02.16.22</t>
  </si>
  <si>
    <t>C19951</t>
  </si>
  <si>
    <t>BOTTEGA WHITE L 120X120(A) (HOMOLOGADO)</t>
  </si>
  <si>
    <t>01.02.16.23</t>
  </si>
  <si>
    <t>C19952</t>
  </si>
  <si>
    <t>BOTTEGA ACERO L 120X120(A) (HOMOLOGADO)</t>
  </si>
  <si>
    <t>01.02.16.24</t>
  </si>
  <si>
    <t>C19953</t>
  </si>
  <si>
    <t>BOTTEGA TOPO L 120X120(A) (HOMOLOGADO)</t>
  </si>
  <si>
    <t>01.02.16.25</t>
  </si>
  <si>
    <t>C19954</t>
  </si>
  <si>
    <t>SMART TANZANIA ALMOND 22X90(A) (HOMOLOGADO)</t>
  </si>
  <si>
    <t>01.02.16.26</t>
  </si>
  <si>
    <t>C19885</t>
  </si>
  <si>
    <t>CONCRETO USINADO 25MPA SLUMP12+-2</t>
  </si>
  <si>
    <t>01.02.16.27</t>
  </si>
  <si>
    <t>C19955</t>
  </si>
  <si>
    <t>ARGAMASSA COLORIDA PARA SELAR JUNTAS ATÉ 4 MM COR BRANCA COLORSTUK 0-4 BLANCO (HOMOLOGADO)</t>
  </si>
  <si>
    <t>01.02.16.28</t>
  </si>
  <si>
    <t>C19956</t>
  </si>
  <si>
    <t>ARGAMASSA COLORIDA PARA SELAR JUNTAS ATÉ 4 MM COR MANHATTAN - COLORSTUK 0-4 MANHATTAN N 5 KG (HOMOLOGADO)</t>
  </si>
  <si>
    <t>01.02.16.29</t>
  </si>
  <si>
    <t>C19957</t>
  </si>
  <si>
    <t>ARGAMASSA COLORIDA PARA SELAR JUNTAS ATÉ 4 MM COR MOKA - COLORSTUK 0-4 MOKA N 5 KG (HOMOLOGADO)</t>
  </si>
  <si>
    <t>01.02.16.30</t>
  </si>
  <si>
    <t>C19958</t>
  </si>
  <si>
    <t>CRUZETAS AUTONIVELANTES 2MM (1 BOLSA CONTEM 500 CRUZETAS) (HOMOLOGADO)</t>
  </si>
  <si>
    <t>01.02.16.31</t>
  </si>
  <si>
    <t>C19959</t>
  </si>
  <si>
    <t>CUNHA PARA NIVELAR OS REVESTIMENTOS CERAMICOS (1 BOLSA CONTEM 500 CUNHAS) (HOMOLOGADO)</t>
  </si>
  <si>
    <t>01.02.16.32</t>
  </si>
  <si>
    <t>C19960</t>
  </si>
  <si>
    <t>FERRAMENTA MANUAL PARA AJUSTE ENTRE CUNHA E CRUZETA PARA NIVELAMENTO DE REVESTIMENTOS CERAMICOS (HOMOLOGADO)</t>
  </si>
  <si>
    <t>01.02.16.33</t>
  </si>
  <si>
    <t>C19961</t>
  </si>
  <si>
    <t>MDO/ARGAMASSA PISOS ESPECIAIS</t>
  </si>
  <si>
    <t>01.02.16.41</t>
  </si>
  <si>
    <t>C19945</t>
  </si>
  <si>
    <t>CARPETE EM PLACA ROCKET - CINZA CLARO 961 (HOMOLOGADO)</t>
  </si>
  <si>
    <t>01.02.16.43</t>
  </si>
  <si>
    <t>C19946</t>
  </si>
  <si>
    <t>CARPETE EM PLACA ROCKET - AZUL ROYAL 504 (HOMOLOGADO)</t>
  </si>
  <si>
    <t>01.02.17</t>
  </si>
  <si>
    <t>PINTURAS</t>
  </si>
  <si>
    <t>01.02.17.01</t>
  </si>
  <si>
    <t>C14593</t>
  </si>
  <si>
    <t>PINTURA PVA SOBRE MASSA EM PAREDE</t>
  </si>
  <si>
    <t>01.02.17.02</t>
  </si>
  <si>
    <t>CO516</t>
  </si>
  <si>
    <t>PINTURA ACRÍLICA SUNIVIL, COR BRANCO GELO 1ª DEMÃO</t>
  </si>
  <si>
    <t>01.02.17.03</t>
  </si>
  <si>
    <t>CO517</t>
  </si>
  <si>
    <t>PINTURA ACRÍLICA SUNIVIL, COR BRANCO GELO 2ª DEMÃO</t>
  </si>
  <si>
    <t>01.02.17.04</t>
  </si>
  <si>
    <t>C00566</t>
  </si>
  <si>
    <t>TEXTURA EXTERNA</t>
  </si>
  <si>
    <t>01.02.17.05</t>
  </si>
  <si>
    <t>C18400</t>
  </si>
  <si>
    <t>MO PINTURA PVA 2° DEMÃO TETO</t>
  </si>
  <si>
    <t>01.02.17.06</t>
  </si>
  <si>
    <t>C19793</t>
  </si>
  <si>
    <t>SERVIÇO DE PINTURA - APLICAÇÃO DA 1ª DEMÃO DE TINTA ACRÍLICA EM TETOS EXTERNOS</t>
  </si>
  <si>
    <t>01.02.17.07</t>
  </si>
  <si>
    <t>C19786</t>
  </si>
  <si>
    <t>SERVIÇO DE PINTURA - APLICAÇÃO DA 1ª DEMÃO DE TINTA ACRÍLICA EM TETOS INTERNOS</t>
  </si>
  <si>
    <t>01.02.17.08</t>
  </si>
  <si>
    <t>01.02.19</t>
  </si>
  <si>
    <t>LIMPEZA E DESMOBILIZAÇÃO</t>
  </si>
  <si>
    <t>01.02.19.01</t>
  </si>
  <si>
    <t>CO168</t>
  </si>
  <si>
    <t>LIMPEZA FINAL DA OBRA</t>
  </si>
  <si>
    <t>01.02.19.03</t>
  </si>
  <si>
    <t>C00752</t>
  </si>
  <si>
    <t>LIMPEZA FINAL</t>
  </si>
  <si>
    <t>01.02.20</t>
  </si>
  <si>
    <t>DESPESAS PÓS-ENTREGA DA OBRA</t>
  </si>
  <si>
    <t>01.02.20.01</t>
  </si>
  <si>
    <t>D005036</t>
  </si>
  <si>
    <t>DESPESAS DE PÓS OBRA</t>
  </si>
  <si>
    <t>01.02.21</t>
  </si>
  <si>
    <t>OUTROS CUSTOS</t>
  </si>
  <si>
    <t>01.02.21.01</t>
  </si>
  <si>
    <t>CO345</t>
  </si>
  <si>
    <t>CUSTOS NÃO ORÇADOS. (APROPRIAÇÃO DE USO GERENCIAL/CONTROLE)</t>
  </si>
  <si>
    <t>01.02.21.03</t>
  </si>
  <si>
    <t>C15834</t>
  </si>
  <si>
    <t>INSTALAÇÕES ELÉTRICAS E HIDRÁULICAS</t>
  </si>
  <si>
    <t>01.02.21.04</t>
  </si>
  <si>
    <t>C15111</t>
  </si>
  <si>
    <t>OUTROS (MIGRACAO)</t>
  </si>
  <si>
    <t>01.02.21.05</t>
  </si>
  <si>
    <t>C19962</t>
  </si>
  <si>
    <t>TOTEN EXTERNO (HOMOLOGADO)</t>
  </si>
  <si>
    <t>01.02.21.06</t>
  </si>
  <si>
    <t>C19963</t>
  </si>
  <si>
    <t>TOTEN FACHADA (HOMOLOGADO)</t>
  </si>
  <si>
    <t>01.02.21.07</t>
  </si>
  <si>
    <t>C19964</t>
  </si>
  <si>
    <t>TOTEN INTERNO (HOMOLOGADO)</t>
  </si>
  <si>
    <t>01.02.21.08</t>
  </si>
  <si>
    <t>C19965</t>
  </si>
  <si>
    <t>LOGO EM PETG MOLDADA #3,0MM ADESIVADA DE CROME  (HOMOLOGADO)</t>
  </si>
  <si>
    <t>01.02.21.09</t>
  </si>
  <si>
    <t>C19966</t>
  </si>
  <si>
    <t>OUTROS CUSTOS COMUNICAÇÃO (HOMOLOGADO)</t>
  </si>
  <si>
    <t>01.02.21.10</t>
  </si>
  <si>
    <t>C19967</t>
  </si>
  <si>
    <t>ACM BRANCO (HOMOLOGADO)</t>
  </si>
  <si>
    <t>01.02.21.11</t>
  </si>
  <si>
    <t>C19968</t>
  </si>
  <si>
    <t>ACM MARQUISE (HOMOLOGADO)</t>
  </si>
  <si>
    <t>01.02.21.12</t>
  </si>
  <si>
    <t>C19969</t>
  </si>
  <si>
    <t>ESTRUTURA EM TUBO AÇO 20X20MM #1,25MM - REVESTIDA DE ACM SILVER METALIC ALUCOMAXX + MANGUEIRA DE LED VINILSUL - CONFIRMAR SE NÃO TERÁ OS PILARES REVESTIDOS, NÃO IDENTIFICADO NO PROJETO (HOMOLOGADO)</t>
  </si>
  <si>
    <t>01.02.21.13</t>
  </si>
  <si>
    <t>C19970</t>
  </si>
  <si>
    <t>CALHA ILUMINADA (HOMOLOGADO)</t>
  </si>
  <si>
    <t>01.02.21.14</t>
  </si>
  <si>
    <t>C19971</t>
  </si>
  <si>
    <t>LETREIRO [MARCA] DE ENTREGA (HOMOLOGADO)</t>
  </si>
  <si>
    <t>01.02.21.15</t>
  </si>
  <si>
    <t>C19972</t>
  </si>
  <si>
    <t>LETREIRO [MARCA] GERENTE (HOMOLOGADO)</t>
  </si>
  <si>
    <t>01.02.21.16</t>
  </si>
  <si>
    <t>C15518</t>
  </si>
  <si>
    <t>SERVIÇO GRÁFICO SOB ENCOMENDA - PLACA DE SINALIZAÇÃO</t>
  </si>
  <si>
    <t>01.02.21.17</t>
  </si>
  <si>
    <t>C19973</t>
  </si>
  <si>
    <t>PICTOGRAMA (HOMOLOGADO)</t>
  </si>
  <si>
    <t>01.02.21.18</t>
  </si>
  <si>
    <t>C10960</t>
  </si>
  <si>
    <t>LOCAÇÃO DE PORTA FOLDER MDF 025X110 ALTURA</t>
  </si>
  <si>
    <t>01.02.21.19</t>
  </si>
  <si>
    <t>C19063</t>
  </si>
  <si>
    <t>PORTÃO BASCULANTE MEDINDO 5.000 X 2.400 MM</t>
  </si>
  <si>
    <t>01.02.21.20</t>
  </si>
  <si>
    <t>C00569</t>
  </si>
  <si>
    <t>PAISAGISMO</t>
  </si>
  <si>
    <t>01.02.21.21</t>
  </si>
  <si>
    <t>C12514</t>
  </si>
  <si>
    <t>SERVIÇO DE ASSENTAMENTO DE GRAMA</t>
  </si>
  <si>
    <t>01.03</t>
  </si>
  <si>
    <t>FF&amp;E</t>
  </si>
  <si>
    <t>01.03.01</t>
  </si>
  <si>
    <t>01.03.01.01</t>
  </si>
  <si>
    <t>C17517</t>
  </si>
  <si>
    <t>ALUGUEL FF&amp;E</t>
  </si>
  <si>
    <t>01.03.01.02</t>
  </si>
  <si>
    <t>C19974</t>
  </si>
  <si>
    <t>CADEIRA SALES PERSON  (HOMOLOGADO)</t>
  </si>
  <si>
    <t>01.03.01.03</t>
  </si>
  <si>
    <t>C00396</t>
  </si>
  <si>
    <t>MOBILIARIO</t>
  </si>
  <si>
    <t>01.03.01.04</t>
  </si>
  <si>
    <t>C18679</t>
  </si>
  <si>
    <t>EQUIPAMENTOS</t>
  </si>
  <si>
    <t>01.04</t>
  </si>
  <si>
    <t>CUSTOS DE INCORPORAÇÃO</t>
  </si>
  <si>
    <t>01.04.01</t>
  </si>
  <si>
    <t>01.04.01.01</t>
  </si>
  <si>
    <t>C00448</t>
  </si>
  <si>
    <t>CUSTO DE PROJETOS</t>
  </si>
  <si>
    <t>01.04.01.02</t>
  </si>
  <si>
    <t>C17453</t>
  </si>
  <si>
    <t>SERVICO DE COORDENAÇÃO DE PROJETOS</t>
  </si>
  <si>
    <t>01.04.02</t>
  </si>
  <si>
    <t>GESTÃO DE PROCESSOS LEGAIS</t>
  </si>
  <si>
    <t>01.04.02.01</t>
  </si>
  <si>
    <t>C18101</t>
  </si>
  <si>
    <t>SERVIÇO DE DESPACHANTE</t>
  </si>
  <si>
    <t>01.04.02.02</t>
  </si>
  <si>
    <t>C15180</t>
  </si>
  <si>
    <t>TAXAS / EMOLUMENTOS</t>
  </si>
  <si>
    <t>01.04.03</t>
  </si>
  <si>
    <t>GERENCIAMENTO</t>
  </si>
  <si>
    <t>01.04.03.01</t>
  </si>
  <si>
    <t>C00756</t>
  </si>
  <si>
    <t>GERENCIAMENTO DE OBRA</t>
  </si>
  <si>
    <t>I19120 - MATERIAL DE APOIO</t>
  </si>
  <si>
    <t>000 - FORNECEDOR EXEMPLO</t>
  </si>
  <si>
    <t>01.01.04.02</t>
  </si>
  <si>
    <t>CO454 - GERENTE DE OBRA</t>
  </si>
  <si>
    <t>000 - FORNECEDOR EXEMPLO</t>
  </si>
  <si>
    <t>C17211 - INSTALAÇÕES DE CANTEIRO</t>
  </si>
  <si>
    <t>000 - FORNECEDOR EXEMPLO</t>
  </si>
  <si>
    <t>C00756 - GERENCIAMENTO DE OBRA</t>
  </si>
  <si>
    <t>I19849 - DESPESAS CONTABEIS</t>
  </si>
  <si>
    <t>000 - FORNECEDOR EXEMPLO</t>
  </si>
  <si>
    <t>01.01.03</t>
  </si>
  <si>
    <t>01.01.03.01</t>
  </si>
  <si>
    <t>01.01.03.02</t>
  </si>
  <si>
    <t>01.01.03.03</t>
  </si>
  <si>
    <t>01.01.03.04</t>
  </si>
  <si>
    <t>01.01.03.05</t>
  </si>
  <si>
    <t>01.01.03.06</t>
  </si>
  <si>
    <t>01.01.03.07</t>
  </si>
  <si>
    <t>01.01.03.08</t>
  </si>
  <si>
    <t>01.01.03.09</t>
  </si>
  <si>
    <t>01.01.03.10</t>
  </si>
  <si>
    <t>01.01.03.11</t>
  </si>
  <si>
    <t>01.01.03.12</t>
  </si>
  <si>
    <t>01.01.03.13</t>
  </si>
  <si>
    <t>01.01.03.14</t>
  </si>
  <si>
    <t>01.01.03.15</t>
  </si>
  <si>
    <t>01.01.03.16</t>
  </si>
  <si>
    <t>01.01.03.17</t>
  </si>
  <si>
    <t>01.01.03.18</t>
  </si>
  <si>
    <t>01.01.03.19</t>
  </si>
  <si>
    <t>01.01.03.20</t>
  </si>
  <si>
    <t>01.01.03.21</t>
  </si>
  <si>
    <t>01.01.03.22</t>
  </si>
  <si>
    <t>01.01.03.23</t>
  </si>
  <si>
    <t>01.01.03.24</t>
  </si>
  <si>
    <t>01.01.03.25</t>
  </si>
  <si>
    <t>01.01.04</t>
  </si>
  <si>
    <t>01.01.04.01</t>
  </si>
  <si>
    <t>01.01.04.03</t>
  </si>
  <si>
    <t>01.01.04.04</t>
  </si>
  <si>
    <t>01.01.04.05</t>
  </si>
  <si>
    <t>01.01.04.06</t>
  </si>
  <si>
    <t>01.01.04.07</t>
  </si>
  <si>
    <t>01.01.04.08</t>
  </si>
  <si>
    <t>01.01.04.09</t>
  </si>
  <si>
    <t>01.01.04.10</t>
  </si>
  <si>
    <t>01.01.04.11</t>
  </si>
  <si>
    <t>01.01.04.12</t>
  </si>
  <si>
    <t>01.01.04.13</t>
  </si>
  <si>
    <t>01.01.04.14</t>
  </si>
  <si>
    <t>01.01.04.15</t>
  </si>
  <si>
    <t>01.01.04.16</t>
  </si>
  <si>
    <t>01.01.04.17</t>
  </si>
  <si>
    <t>01.01.04.18</t>
  </si>
  <si>
    <t>01.01.04.19</t>
  </si>
  <si>
    <t>01.01.04.20</t>
  </si>
  <si>
    <t>01.01.04.21</t>
  </si>
  <si>
    <t>01.01.04.22</t>
  </si>
  <si>
    <t>01.01.04.23</t>
  </si>
  <si>
    <t>01.01.04.24</t>
  </si>
  <si>
    <t>01.01.04.25</t>
  </si>
  <si>
    <t>01.01.04.26</t>
  </si>
  <si>
    <t>01.01.05</t>
  </si>
  <si>
    <t>01.01.05.01</t>
  </si>
  <si>
    <t>01.01.05.02</t>
  </si>
  <si>
    <t>01.02</t>
  </si>
  <si>
    <t>C17519</t>
  </si>
  <si>
    <t>C14888</t>
  </si>
  <si>
    <t>C11595</t>
  </si>
  <si>
    <t>C18296</t>
  </si>
  <si>
    <t>C18363</t>
  </si>
  <si>
    <t>C18411</t>
  </si>
  <si>
    <t>C00767</t>
  </si>
  <si>
    <t>C18114</t>
  </si>
  <si>
    <t>C11639</t>
  </si>
  <si>
    <t>C18389</t>
  </si>
  <si>
    <t>C12852</t>
  </si>
  <si>
    <t>C17641</t>
  </si>
  <si>
    <t>CO037</t>
  </si>
  <si>
    <t>CO578</t>
  </si>
  <si>
    <t>C17248</t>
  </si>
  <si>
    <t>C17603</t>
  </si>
  <si>
    <t>C11708</t>
  </si>
  <si>
    <t>C11773</t>
  </si>
  <si>
    <t>C00669</t>
  </si>
  <si>
    <t>CO581</t>
  </si>
  <si>
    <t>CO582</t>
  </si>
  <si>
    <t>CO605</t>
  </si>
  <si>
    <t>CO606</t>
  </si>
  <si>
    <t>CO608</t>
  </si>
  <si>
    <t>CO614</t>
  </si>
  <si>
    <t>CO454</t>
  </si>
  <si>
    <t>CO616</t>
  </si>
  <si>
    <t>CO618</t>
  </si>
  <si>
    <t>CO650</t>
  </si>
  <si>
    <t>C12370</t>
  </si>
  <si>
    <t>C15076</t>
  </si>
  <si>
    <t>C19701</t>
  </si>
  <si>
    <t>C19642</t>
  </si>
  <si>
    <t>CO639</t>
  </si>
  <si>
    <t>CO329</t>
  </si>
  <si>
    <t>C19760</t>
  </si>
  <si>
    <t>CO328</t>
  </si>
  <si>
    <t>CO327</t>
  </si>
  <si>
    <t>C00673</t>
  </si>
  <si>
    <t>CO644</t>
  </si>
  <si>
    <t>CO645</t>
  </si>
  <si>
    <t>CO654</t>
  </si>
  <si>
    <t>CO625</t>
  </si>
  <si>
    <t>C19682</t>
  </si>
  <si>
    <t>CO626</t>
  </si>
  <si>
    <t>C00380</t>
  </si>
  <si>
    <t>CO349</t>
  </si>
  <si>
    <t>C18717</t>
  </si>
  <si>
    <t>C15694</t>
  </si>
  <si>
    <t>C17654</t>
  </si>
  <si>
    <t>C17528</t>
  </si>
  <si>
    <t>EQUIPAMENTOS/FERRAMENTAS</t>
  </si>
  <si>
    <t>SERVIÇO DE MANUTENÇÃO DE CONTROLE DE AR CONDICIONADO</t>
  </si>
  <si>
    <t>SERVIÇO DE INSTALAÇÃO DE BEBEDOUROS</t>
  </si>
  <si>
    <t>LOCAÇÃO DIÁRIA DE BETONEIRA 320LT A 400LT SEM CARREGADO R - ALIMENTAÇÃO: ENERGIA ELÉTRICA</t>
  </si>
  <si>
    <t>SERVIÇO DE MANUTENÇÃO CORRETIVA DE FURADEIRA</t>
  </si>
  <si>
    <t>SERVIÇO DE LAVANDERIA - CAPAS PARA LAVAR</t>
  </si>
  <si>
    <t>CORTE DE VIDRO PARA ESTRUTURA METÁLICA</t>
  </si>
  <si>
    <t>LAZER</t>
  </si>
  <si>
    <t>SERVIÇO DE MANUTENÇÃO DE PISTOLA FINCA PIN</t>
  </si>
  <si>
    <t>LOCAÇÃO DIÁRIA DE POLICORTE - ALIMENTAÇÃO: ENERGIA ELÉTRICA</t>
  </si>
  <si>
    <t>LOCAÇÃO DE RADIO COMUNICADOR</t>
  </si>
  <si>
    <t>SERVIÇO DE MANUTENÇÃO / CONSERTO - SERRA CIRCULAR</t>
  </si>
  <si>
    <t>LOCAÇÃO DE MARTELETE ROMPEDOR 7KG</t>
  </si>
  <si>
    <t>MANUTENÇÕES DE MÁQUINAS E EQUIPAMENTOS</t>
  </si>
  <si>
    <t>AQUISIÇÃO DE MAQUINAS E EQUIPAMENTOS DE MAIOR PORTE</t>
  </si>
  <si>
    <t>COMPUTADORES E NOTEBOOKS</t>
  </si>
  <si>
    <t>SOFTWARE PARA RELÓGIO DE PONTO POR FUNCIONÁRIO</t>
  </si>
  <si>
    <t>LOCAÇÃO MENSAL DE ESMERILHADEIRA / LIXADEIRA ANGULAR 9 - ALIMENTAÇÃO: ENERGIA ELÉTRICA</t>
  </si>
  <si>
    <t>LOCAÇÃO MENSAL DE PARAFUSADEIRA 3 / 8 - A BATERIA</t>
  </si>
  <si>
    <t>FERRAMENTAS</t>
  </si>
  <si>
    <t>PROTEÇÃO DE FOSSO DO ELEVADOR</t>
  </si>
  <si>
    <t>PROTEÇÃO DE ESCADA</t>
  </si>
  <si>
    <t>EQUIPAMENTOS DE PROTEÇÃO INDIVIDUAL</t>
  </si>
  <si>
    <t>EQUIPAMENTOS DE COMBATE A INCÊNDIO</t>
  </si>
  <si>
    <t>BAIA PARA PRODUTOS RECICLAVEIS</t>
  </si>
  <si>
    <t>CUSTOS ADMINISTRATIVOS</t>
  </si>
  <si>
    <t>MESTRE DE OBRAS</t>
  </si>
  <si>
    <t>GERENTE DE OBRA</t>
  </si>
  <si>
    <t>ALMOXARIFE / ADMINISTRATIVO</t>
  </si>
  <si>
    <t>TÉCNICO DE SEGURANÇA</t>
  </si>
  <si>
    <t>ENCARREGADO ACABAMENTO</t>
  </si>
  <si>
    <t>MÃO DE OBRA - PORTEIRO</t>
  </si>
  <si>
    <t>SERVIÇO DE VIGILÂNCIA / PORTARIA (NOTURNO)</t>
  </si>
  <si>
    <t>SERVIÇO PRESTADO - EQUIPE ADMINISTRATIVA EM CANTEIRO DE OBRA</t>
  </si>
  <si>
    <t>MÃO DE OBRA - SERVENTE</t>
  </si>
  <si>
    <t>OPERADOR DE BETONEIRA</t>
  </si>
  <si>
    <t>MATERIAIS DE EXPEDIENTE E LIMPEZA</t>
  </si>
  <si>
    <t>SERVIÇO DE ANALISTA DE OBRA</t>
  </si>
  <si>
    <t>VALE TRANSPORTE</t>
  </si>
  <si>
    <t>CONSUMO ALIMENTAÇÃO (CAFE, ALMOÇO)</t>
  </si>
  <si>
    <t>FRETES &amp; CARRETOS</t>
  </si>
  <si>
    <t>PCMSO - PROGRAMA DE CONTROLE MÉDICO NA SAÚDE OCUPACIONAL</t>
  </si>
  <si>
    <t>PCMAT - PROGRAMA DE CONDIÇÕES DO MEIO AMBIENTE DE TRABALHO</t>
  </si>
  <si>
    <t>MANUTENÇÃO PCMAT/PCMSO</t>
  </si>
  <si>
    <t>EXAME ADMISSIONAL E ASO´S</t>
  </si>
  <si>
    <t>SERVIÇO DE BÔNUS MENSAL EQUIPE ADMINISTRATIVA - CUMPRIMENTO DE ORÇAMENTO</t>
  </si>
  <si>
    <t>CURSOS E TREINAMENTOS</t>
  </si>
  <si>
    <t>SEGURO DE OBRA</t>
  </si>
  <si>
    <t>CONSUMOS (ÁGUA, ENERGIA E INTERNET/TELEFONE)</t>
  </si>
  <si>
    <t>RETIRADA DE ENTULHO</t>
  </si>
  <si>
    <t>SSMA - SERVIÇO DE ELABORAÇÃO LTCAT (LAUDO TÉCNICO DE CONDIÇÕES AMBIENTAIS DO TRABALHO)</t>
  </si>
  <si>
    <t>LIMPEZA E DESMOBILIZACAO</t>
  </si>
  <si>
    <t>FORNECIMENTO DE CAÇAMBA PARA TRANSPORTE DE ENTULHO</t>
  </si>
  <si>
    <t>LIMPEZA E DRENAGEM DE VIAS FLUVIAIS</t>
  </si>
  <si>
    <t>CUSTOS DIRETOS</t>
  </si>
  <si>
    <t xml:space="preserve">SERVIÇO </t>
  </si>
  <si>
    <t>01.001.003.002</t>
  </si>
  <si>
    <t>01.001.003.003</t>
  </si>
  <si>
    <t>01.001.003.004</t>
  </si>
  <si>
    <t>01.001.003.005</t>
  </si>
  <si>
    <t>01.001.003.006</t>
  </si>
  <si>
    <t>01.001.003.007</t>
  </si>
  <si>
    <t>01.001.003.008</t>
  </si>
  <si>
    <t>01.001.003.009</t>
  </si>
  <si>
    <t>01.001.003.010</t>
  </si>
  <si>
    <t>01.001.003.011</t>
  </si>
  <si>
    <t>01.001.003.012</t>
  </si>
  <si>
    <t>01.001.003.013</t>
  </si>
  <si>
    <t>01.001.003.014</t>
  </si>
  <si>
    <t>01.001.003.015</t>
  </si>
  <si>
    <t>01.001.003.016</t>
  </si>
  <si>
    <t>01.001.003.017</t>
  </si>
  <si>
    <t>01.001.003.018</t>
  </si>
  <si>
    <t>01.001.003.019</t>
  </si>
  <si>
    <t>01.001.003.020</t>
  </si>
  <si>
    <t>01.001.003.021</t>
  </si>
  <si>
    <t>01.001.003.022</t>
  </si>
  <si>
    <t>01.001.003.023</t>
  </si>
  <si>
    <t>01.001.003.024</t>
  </si>
  <si>
    <t>01.001.003.025</t>
  </si>
  <si>
    <t>01.001.004.003</t>
  </si>
  <si>
    <t>01.001.004.004</t>
  </si>
  <si>
    <t>01.001.004.005</t>
  </si>
  <si>
    <t>01.001.004.006</t>
  </si>
  <si>
    <t>01.001.004.007</t>
  </si>
  <si>
    <t>01.001.004.008</t>
  </si>
  <si>
    <t>01.001.004.009</t>
  </si>
  <si>
    <t>01.001.004.010</t>
  </si>
  <si>
    <t>01.001.004.011</t>
  </si>
  <si>
    <t>01.001.004.012</t>
  </si>
  <si>
    <t>01.001.004.013</t>
  </si>
  <si>
    <t>01.001.004.014</t>
  </si>
  <si>
    <t>01.001.004.015</t>
  </si>
  <si>
    <t>01.001.004.016</t>
  </si>
  <si>
    <t>01.001.004.017</t>
  </si>
  <si>
    <t>01.001.004.018</t>
  </si>
  <si>
    <t>01.001.004.019</t>
  </si>
  <si>
    <t>01.001.004.020</t>
  </si>
  <si>
    <t>01.001.004.021</t>
  </si>
  <si>
    <t>01.001.004.022</t>
  </si>
  <si>
    <t>01.001.004.023</t>
  </si>
  <si>
    <t>01.001.004.024</t>
  </si>
  <si>
    <t>01.001.004.025</t>
  </si>
  <si>
    <t>01.001.004.026</t>
  </si>
  <si>
    <t>01.002</t>
  </si>
  <si>
    <t>01.002.001</t>
  </si>
  <si>
    <t>01.002.001.001</t>
  </si>
  <si>
    <t>01.002.002</t>
  </si>
  <si>
    <t>01.002.002.001</t>
  </si>
  <si>
    <t>01.002.002.002</t>
  </si>
  <si>
    <t>01.002.003</t>
  </si>
  <si>
    <t>01.002.003.001</t>
  </si>
  <si>
    <t>01.002.003.002</t>
  </si>
  <si>
    <t>01.002.003.003</t>
  </si>
  <si>
    <t>01.002.003.004</t>
  </si>
  <si>
    <t>01.002.003.005</t>
  </si>
  <si>
    <t>01.002.003.006</t>
  </si>
  <si>
    <t>01.002.003.007</t>
  </si>
  <si>
    <t>01.002.003.008</t>
  </si>
  <si>
    <t>01.002.003.009</t>
  </si>
  <si>
    <t>01.002.003.010</t>
  </si>
  <si>
    <t>01.002.003.011</t>
  </si>
  <si>
    <t>01.002.003.012</t>
  </si>
  <si>
    <t>01.002.003.013</t>
  </si>
  <si>
    <t>01.002.003.014</t>
  </si>
  <si>
    <t>01.002.003.015</t>
  </si>
  <si>
    <t>01.002.003.016</t>
  </si>
  <si>
    <t>01.002.003.017</t>
  </si>
  <si>
    <t>01.002.003.018</t>
  </si>
  <si>
    <t>01.002.003.019</t>
  </si>
  <si>
    <t>01.002.004</t>
  </si>
  <si>
    <t>01.002.004.001</t>
  </si>
  <si>
    <t>01.002.004.002</t>
  </si>
  <si>
    <t>01.002.004.003</t>
  </si>
  <si>
    <t>01.002.004.004</t>
  </si>
  <si>
    <t>01.002.004.005</t>
  </si>
  <si>
    <t>01.002.004.006</t>
  </si>
  <si>
    <t>01.002.004.007</t>
  </si>
  <si>
    <t>01.002.004.008</t>
  </si>
  <si>
    <t>01.002.004.009</t>
  </si>
  <si>
    <t>01.002.004.010</t>
  </si>
  <si>
    <t>01.002.004.011</t>
  </si>
  <si>
    <t>01.002.004.012</t>
  </si>
  <si>
    <t>01.002.005</t>
  </si>
  <si>
    <t>01.002.005.001</t>
  </si>
  <si>
    <t>01.002.005.002</t>
  </si>
  <si>
    <t>01.002.005.003</t>
  </si>
  <si>
    <t>01.002.005.004</t>
  </si>
  <si>
    <t>01.002.005.005</t>
  </si>
  <si>
    <t>01.002.005.006</t>
  </si>
  <si>
    <t>01.002.005.007</t>
  </si>
  <si>
    <t>01.002.005.008</t>
  </si>
  <si>
    <t>01.002.005.009</t>
  </si>
  <si>
    <t>01.002.005.010</t>
  </si>
  <si>
    <t>01.002.006</t>
  </si>
  <si>
    <t>01.002.006.001</t>
  </si>
  <si>
    <t>01.002.006.002</t>
  </si>
  <si>
    <t>01.002.006.003</t>
  </si>
  <si>
    <t>01.002.006.004</t>
  </si>
  <si>
    <t>01.002.006.005</t>
  </si>
  <si>
    <t>01.002.006.006</t>
  </si>
  <si>
    <t>01.002.006.007</t>
  </si>
  <si>
    <t>01.002.006.008</t>
  </si>
  <si>
    <t>01.002.007</t>
  </si>
  <si>
    <t>01.002.007.001</t>
  </si>
  <si>
    <t>01.002.007.002</t>
  </si>
  <si>
    <t>01.002.007.003</t>
  </si>
  <si>
    <t>01.002.007.004</t>
  </si>
  <si>
    <t>01.002.007.005</t>
  </si>
  <si>
    <t>01.002.007.006</t>
  </si>
  <si>
    <t>01.002.007.007</t>
  </si>
  <si>
    <t>01.002.007.008</t>
  </si>
  <si>
    <t>01.002.007.009</t>
  </si>
  <si>
    <t>01.002.007.010</t>
  </si>
  <si>
    <t>01.002.007.011</t>
  </si>
  <si>
    <t>01.002.008</t>
  </si>
  <si>
    <t>01.002.008.001</t>
  </si>
  <si>
    <t>01.002.008.002</t>
  </si>
  <si>
    <t>01.002.008.003</t>
  </si>
  <si>
    <t>01.002.008.004</t>
  </si>
  <si>
    <t>01.002.008.005</t>
  </si>
  <si>
    <t>01.002.008.006</t>
  </si>
  <si>
    <t>01.002.008.007</t>
  </si>
  <si>
    <t>01.002.008.008</t>
  </si>
  <si>
    <t>01.002.008.009</t>
  </si>
  <si>
    <t>01.002.008.010</t>
  </si>
  <si>
    <t>01.002.008.011</t>
  </si>
  <si>
    <t>01.002.008.012</t>
  </si>
  <si>
    <t>01.002.008.013</t>
  </si>
  <si>
    <t>01.002.008.014</t>
  </si>
  <si>
    <t>01.002.008.015</t>
  </si>
  <si>
    <t>01.002.009</t>
  </si>
  <si>
    <t>01.002.009.001</t>
  </si>
  <si>
    <t>01.002.009.002</t>
  </si>
  <si>
    <t>01.002.009.003</t>
  </si>
  <si>
    <t>01.002.009.004</t>
  </si>
  <si>
    <t>01.002.010</t>
  </si>
  <si>
    <t>01.002.010.001</t>
  </si>
  <si>
    <t>01.002.010.002</t>
  </si>
  <si>
    <t>01.002.010.003</t>
  </si>
  <si>
    <t>01.002.010.004</t>
  </si>
  <si>
    <t>01.002.010.005</t>
  </si>
  <si>
    <t>01.002.010.006</t>
  </si>
  <si>
    <t>01.002.010.007</t>
  </si>
  <si>
    <t>01.002.010.008</t>
  </si>
  <si>
    <t>01.002.010.009</t>
  </si>
  <si>
    <t>01.002.010.010</t>
  </si>
  <si>
    <t>01.002.010.011</t>
  </si>
  <si>
    <t>01.002.010.012</t>
  </si>
  <si>
    <t>01.002.010.013</t>
  </si>
  <si>
    <t>01.002.010.014</t>
  </si>
  <si>
    <t>01.002.010.015</t>
  </si>
  <si>
    <t>01.002.011</t>
  </si>
  <si>
    <t>01.002.011.001</t>
  </si>
  <si>
    <t>01.002.011.002</t>
  </si>
  <si>
    <t>01.002.011.003</t>
  </si>
  <si>
    <t>01.002.011.004</t>
  </si>
  <si>
    <t>01.002.011.005</t>
  </si>
  <si>
    <t>01.002.011.006</t>
  </si>
  <si>
    <t>01.002.011.007</t>
  </si>
  <si>
    <t>01.002.011.008</t>
  </si>
  <si>
    <t>01.002.011.009</t>
  </si>
  <si>
    <t>01.002.011.010</t>
  </si>
  <si>
    <t>01.002.011.011</t>
  </si>
  <si>
    <t>01.002.011.012</t>
  </si>
  <si>
    <t>01.002.011.013</t>
  </si>
  <si>
    <t>01.002.011.014</t>
  </si>
  <si>
    <t>01.002.011.015</t>
  </si>
  <si>
    <t>01.002.011.016</t>
  </si>
  <si>
    <t>01.002.011.017</t>
  </si>
  <si>
    <t>01.002.011.018</t>
  </si>
  <si>
    <t>01.002.011.019</t>
  </si>
  <si>
    <t>01.002.011.020</t>
  </si>
  <si>
    <t>01.002.011.021</t>
  </si>
  <si>
    <t>01.002.011.022</t>
  </si>
  <si>
    <t>01.002.011.023</t>
  </si>
  <si>
    <t>01.002.011.024</t>
  </si>
  <si>
    <t>01.002.011.025</t>
  </si>
  <si>
    <t>01.002.011.026</t>
  </si>
  <si>
    <t>01.002.012</t>
  </si>
  <si>
    <t>01.002.012.001</t>
  </si>
  <si>
    <t>01.002.012.002</t>
  </si>
  <si>
    <t>01.002.012.003</t>
  </si>
  <si>
    <t>01.002.012.004</t>
  </si>
  <si>
    <t>01.002.012.005</t>
  </si>
  <si>
    <t>01.002.012.006</t>
  </si>
  <si>
    <t>01.002.012.007</t>
  </si>
  <si>
    <t>01.002.013</t>
  </si>
  <si>
    <t>01.002.013.001</t>
  </si>
  <si>
    <t>01.002.013.002</t>
  </si>
  <si>
    <t>01.002.013.003</t>
  </si>
  <si>
    <t>01.002.013.004</t>
  </si>
  <si>
    <t>01.002.014</t>
  </si>
  <si>
    <t>01.002.014.001</t>
  </si>
  <si>
    <t>01.002.014.002</t>
  </si>
  <si>
    <t>01.002.014.003</t>
  </si>
  <si>
    <t>01.002.014.004</t>
  </si>
  <si>
    <t>01.002.014.005</t>
  </si>
  <si>
    <t>01.002.015</t>
  </si>
  <si>
    <t>01.002.015.001</t>
  </si>
  <si>
    <t>01.002.015.002</t>
  </si>
  <si>
    <t>01.002.015.003</t>
  </si>
  <si>
    <t>01.002.015.004</t>
  </si>
  <si>
    <t>01.002.015.005</t>
  </si>
  <si>
    <t>01.002.015.006</t>
  </si>
  <si>
    <t>01.002.015.007</t>
  </si>
  <si>
    <t>01.002.015.008</t>
  </si>
  <si>
    <t>01.002.015.009</t>
  </si>
  <si>
    <t>01.002.015.010</t>
  </si>
  <si>
    <t>01.002.015.011</t>
  </si>
  <si>
    <t>01.002.015.012</t>
  </si>
  <si>
    <t>01.002.016</t>
  </si>
  <si>
    <t>01.002.016.001</t>
  </si>
  <si>
    <t>01.002.016.002</t>
  </si>
  <si>
    <t>01.002.016.003</t>
  </si>
  <si>
    <t>01.002.016.004</t>
  </si>
  <si>
    <t>01.002.016.005</t>
  </si>
  <si>
    <t>01.002.016.006</t>
  </si>
  <si>
    <t>01.002.016.007</t>
  </si>
  <si>
    <t>01.002.016.008</t>
  </si>
  <si>
    <t>01.002.016.009</t>
  </si>
  <si>
    <t>01.002.016.010</t>
  </si>
  <si>
    <t>01.002.016.011</t>
  </si>
  <si>
    <t>01.002.016.012</t>
  </si>
  <si>
    <t>01.002.016.013</t>
  </si>
  <si>
    <t>01.002.016.014</t>
  </si>
  <si>
    <t>01.002.016.015</t>
  </si>
  <si>
    <t>01.002.016.016</t>
  </si>
  <si>
    <t>01.002.016.017</t>
  </si>
  <si>
    <t>01.002.016.018</t>
  </si>
  <si>
    <t>01.002.016.019</t>
  </si>
  <si>
    <t>01.002.016.020</t>
  </si>
  <si>
    <t>01.002.016.021</t>
  </si>
  <si>
    <t>01.002.016.022</t>
  </si>
  <si>
    <t>01.002.016.023</t>
  </si>
  <si>
    <t>01.002.016.024</t>
  </si>
  <si>
    <t>01.002.016.025</t>
  </si>
  <si>
    <t>01.002.016.026</t>
  </si>
  <si>
    <t>01.002.016.027</t>
  </si>
  <si>
    <t>01.002.016.028</t>
  </si>
  <si>
    <t>01.002.016.029</t>
  </si>
  <si>
    <t>01.002.016.030</t>
  </si>
  <si>
    <t>01.002.016.031</t>
  </si>
  <si>
    <t>01.002.016.032</t>
  </si>
  <si>
    <t>01.002.016.033</t>
  </si>
  <si>
    <t>01.002.017</t>
  </si>
  <si>
    <t>01.002.017.001</t>
  </si>
  <si>
    <t>01.002.017.002</t>
  </si>
  <si>
    <t>01.002.017.003</t>
  </si>
  <si>
    <t>01.002.017.004</t>
  </si>
  <si>
    <t>01.002.017.005</t>
  </si>
  <si>
    <t>01.002.017.006</t>
  </si>
  <si>
    <t>01.002.017.007</t>
  </si>
  <si>
    <t>01.002.017.008</t>
  </si>
  <si>
    <t>01.002.018</t>
  </si>
  <si>
    <t>01.002.018.001</t>
  </si>
  <si>
    <t>01.002.018.002</t>
  </si>
  <si>
    <t>01.002.019</t>
  </si>
  <si>
    <t>01.002.019.001</t>
  </si>
  <si>
    <t>01.002.020</t>
  </si>
  <si>
    <t>01.002.020.001</t>
  </si>
  <si>
    <t>01.002.020.002</t>
  </si>
  <si>
    <t>01.002.020.003</t>
  </si>
  <si>
    <t>01.002.020.004</t>
  </si>
  <si>
    <t>01.002.020.005</t>
  </si>
  <si>
    <t>01.002.020.006</t>
  </si>
  <si>
    <t>01.002.020.007</t>
  </si>
  <si>
    <t>01.002.020.008</t>
  </si>
  <si>
    <t>01.002.020.009</t>
  </si>
  <si>
    <t>01.002.020.010</t>
  </si>
  <si>
    <t>01.002.020.011</t>
  </si>
  <si>
    <t>01.002.020.012</t>
  </si>
  <si>
    <t>01.002.020.013</t>
  </si>
  <si>
    <t>01.002.020.014</t>
  </si>
  <si>
    <t>01.002.020.015</t>
  </si>
  <si>
    <t>01.002.020.016</t>
  </si>
  <si>
    <t>01.002.020.017</t>
  </si>
  <si>
    <t>01.002.020.018</t>
  </si>
  <si>
    <t>01.002.020.019</t>
  </si>
  <si>
    <t>01.002.020.020</t>
  </si>
  <si>
    <t>01.003</t>
  </si>
  <si>
    <t>01.003.001</t>
  </si>
  <si>
    <t>01.003.001.001</t>
  </si>
  <si>
    <t>01.003.001.002</t>
  </si>
  <si>
    <t>01.003.001.003</t>
  </si>
  <si>
    <t>01.003.001.004</t>
  </si>
  <si>
    <t>01.004</t>
  </si>
  <si>
    <t>01.004.001</t>
  </si>
  <si>
    <t>01.004.001.001</t>
  </si>
  <si>
    <t>01.004.001.002</t>
  </si>
  <si>
    <t>01.004.002</t>
  </si>
  <si>
    <t>01.004.002.001</t>
  </si>
  <si>
    <t>01.004.002.002</t>
  </si>
  <si>
    <t>01.004.003</t>
  </si>
  <si>
    <t>01.004.003.001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</si>
</sst>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0.0%"/>
  </numFmts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1"/>
      <color rgb="FF595959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000000"/>
      <name val="Calibri"/>
      <charset val="1"/>
    </font>
    <font>
      <b/>
      <sz val="12"/>
      <color rgb="FFFFFFFF"/>
      <name val="Calibri"/>
      <charset val="1"/>
    </font>
    <font>
      <b/>
      <sz val="14"/>
      <color rgb="FFC55A11"/>
      <name val="Calibri"/>
      <charset val="1"/>
    </font>
    <font>
      <i/>
      <sz val="9"/>
      <color rgb="FF808080"/>
      <name val="Calibri"/>
      <charset val="1"/>
    </font>
    <font>
      <sz val="10"/>
      <name val="Arial"/>
      <family val="2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b/>
      <sz val="11"/>
      <color rgb="FFFFFFFF"/>
      <name val="Calibri"/>
      <family val="2"/>
      <charset val="1"/>
    </font>
    <font>
      <b/>
      <sz val="12"/>
      <color rgb="FFFFFFFF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105">
    <xf numFmtId="0" fontId="0" fillId="0" borderId="0" xfId="0"/>
    <xf numFmtId="0" fontId="9" fillId="0" borderId="0" xfId="0" applyFont="1"/>
    <xf numFmtId="0" fontId="7" fillId="2" borderId="0" xfId="0" applyFont="1" applyFill="1" applyAlignment="1">
      <alignment horizontal="left" vertical="center" indent="1"/>
    </xf>
    <xf numFmtId="0" fontId="4" fillId="0" borderId="0" xfId="0" applyFont="1"/>
    <xf numFmtId="0" fontId="5" fillId="4" borderId="2" xfId="0" applyFont="1" applyFill="1" applyBorder="1"/>
    <xf numFmtId="164" fontId="5" fillId="4" borderId="2" xfId="0" applyNumberFormat="1" applyFont="1" applyFill="1" applyBorder="1"/>
    <xf numFmtId="164" fontId="6" fillId="0" borderId="2" xfId="0" applyNumberFormat="1" applyFont="1" applyBorder="1"/>
    <xf numFmtId="164" fontId="4" fillId="5" borderId="2" xfId="0" applyNumberFormat="1" applyFont="1" applyFill="1" applyBorder="1"/>
    <xf numFmtId="164" fontId="8" fillId="7" borderId="2" xfId="0" applyNumberFormat="1" applyFont="1" applyFill="1" applyBorder="1"/>
    <xf numFmtId="0" fontId="4" fillId="8" borderId="2" xfId="0" applyFont="1" applyFill="1" applyBorder="1"/>
    <xf numFmtId="165" fontId="5" fillId="4" borderId="2" xfId="0" applyNumberFormat="1" applyFont="1" applyFill="1" applyBorder="1"/>
    <xf numFmtId="165" fontId="4" fillId="0" borderId="2" xfId="0" applyNumberFormat="1" applyFont="1" applyBorder="1"/>
    <xf numFmtId="0" fontId="12" fillId="3" borderId="2" xfId="0" applyFont="1" applyFill="1" applyBorder="1" applyAlignment="1">
      <alignment horizontal="center" vertical="center" wrapText="1"/>
    </xf>
    <xf numFmtId="0" fontId="13" fillId="8" borderId="2" xfId="0" applyFont="1" applyFill="1" applyBorder="1"/>
    <xf numFmtId="164" fontId="13" fillId="8" borderId="2" xfId="0" applyNumberFormat="1" applyFont="1" applyFill="1" applyBorder="1"/>
    <xf numFmtId="0" fontId="9" fillId="0" borderId="10" xfId="0" applyFont="1" applyBorder="1" applyAlignment="1">
      <alignment horizontal="left"/>
    </xf>
    <xf numFmtId="0" fontId="4" fillId="9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14" fontId="17" fillId="10" borderId="11" xfId="0" applyNumberFormat="1" applyFont="1" applyFill="1" applyBorder="1" applyAlignment="1">
      <alignment horizontal="center"/>
    </xf>
    <xf numFmtId="0" fontId="17" fillId="10" borderId="11" xfId="0" applyFont="1" applyFill="1" applyBorder="1" applyAlignment="1">
      <alignment horizontal="center"/>
    </xf>
    <xf numFmtId="44" fontId="17" fillId="10" borderId="11" xfId="1" applyFont="1" applyFill="1" applyBorder="1" applyAlignment="1">
      <alignment horizontal="center"/>
    </xf>
    <xf numFmtId="14" fontId="17" fillId="10" borderId="11" xfId="1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14" fontId="17" fillId="10" borderId="13" xfId="0" applyNumberFormat="1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/>
    </xf>
    <xf numFmtId="44" fontId="17" fillId="10" borderId="13" xfId="1" applyFont="1" applyFill="1" applyBorder="1" applyAlignment="1">
      <alignment horizontal="center"/>
    </xf>
    <xf numFmtId="14" fontId="17" fillId="10" borderId="13" xfId="1" applyNumberFormat="1" applyFont="1" applyFill="1" applyBorder="1" applyAlignment="1">
      <alignment horizontal="center"/>
    </xf>
    <xf numFmtId="44" fontId="7" fillId="2" borderId="14" xfId="0" applyNumberFormat="1" applyFont="1" applyFill="1" applyBorder="1" applyAlignment="1">
      <alignment horizontal="left" vertical="center" indent="1"/>
    </xf>
    <xf numFmtId="0" fontId="19" fillId="2" borderId="0" xfId="0" applyFont="1" applyFill="1" applyAlignment="1">
      <alignment vertical="center"/>
    </xf>
    <xf numFmtId="0" fontId="21" fillId="0" borderId="0" xfId="0" applyFont="1"/>
    <xf numFmtId="0" fontId="20" fillId="10" borderId="2" xfId="0" applyFont="1" applyFill="1" applyBorder="1"/>
    <xf numFmtId="164" fontId="20" fillId="10" borderId="2" xfId="0" applyNumberFormat="1" applyFont="1" applyFill="1" applyBorder="1"/>
    <xf numFmtId="0" fontId="20" fillId="10" borderId="15" xfId="0" applyFont="1" applyFill="1" applyBorder="1"/>
    <xf numFmtId="164" fontId="20" fillId="10" borderId="15" xfId="0" applyNumberFormat="1" applyFont="1" applyFill="1" applyBorder="1"/>
    <xf numFmtId="0" fontId="3" fillId="3" borderId="16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0" fillId="10" borderId="9" xfId="0" applyFont="1" applyFill="1" applyBorder="1"/>
    <xf numFmtId="0" fontId="20" fillId="10" borderId="2" xfId="0" applyFont="1" applyFill="1" applyBorder="1" applyAlignment="1">
      <alignment horizontal="center"/>
    </xf>
    <xf numFmtId="44" fontId="20" fillId="10" borderId="2" xfId="1" applyFont="1" applyFill="1" applyBorder="1"/>
    <xf numFmtId="14" fontId="20" fillId="10" borderId="9" xfId="0" applyNumberFormat="1" applyFont="1" applyFill="1" applyBorder="1"/>
    <xf numFmtId="14" fontId="20" fillId="10" borderId="17" xfId="0" applyNumberFormat="1" applyFont="1" applyFill="1" applyBorder="1"/>
    <xf numFmtId="0" fontId="20" fillId="10" borderId="15" xfId="0" applyFont="1" applyFill="1" applyBorder="1" applyAlignment="1">
      <alignment horizontal="center"/>
    </xf>
    <xf numFmtId="44" fontId="20" fillId="10" borderId="15" xfId="1" applyFont="1" applyFill="1" applyBorder="1"/>
    <xf numFmtId="44" fontId="7" fillId="2" borderId="14" xfId="0" applyNumberFormat="1" applyFont="1" applyFill="1" applyBorder="1" applyAlignment="1">
      <alignment vertical="center"/>
    </xf>
    <xf numFmtId="0" fontId="13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8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/>
    <xf numFmtId="164" fontId="22" fillId="0" borderId="2" xfId="0" applyNumberFormat="1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164" fontId="13" fillId="8" borderId="2" xfId="0" applyNumberFormat="1" applyFont="1" applyFill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0" fontId="15" fillId="3" borderId="2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/>
    </xf>
    <xf numFmtId="0" fontId="17" fillId="11" borderId="11" xfId="1" applyNumberFormat="1" applyFont="1" applyFill="1" applyBorder="1" applyAlignment="1">
      <alignment horizontal="center"/>
    </xf>
    <xf numFmtId="0" fontId="17" fillId="11" borderId="13" xfId="1" applyNumberFormat="1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0" fillId="10" borderId="1" xfId="0" applyFont="1" applyFill="1" applyBorder="1"/>
    <xf numFmtId="0" fontId="20" fillId="10" borderId="17" xfId="0" applyFont="1" applyFill="1" applyBorder="1"/>
    <xf numFmtId="0" fontId="20" fillId="10" borderId="7" xfId="0" applyFont="1" applyFill="1" applyBorder="1"/>
    <xf numFmtId="0" fontId="0" fillId="0" borderId="10" xfId="0" applyBorder="1"/>
    <xf numFmtId="14" fontId="5" fillId="4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/>
    </xf>
    <xf numFmtId="165" fontId="4" fillId="5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5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8" xfId="0" applyFont="1" applyBorder="1"/>
    <xf numFmtId="0" fontId="4" fillId="0" borderId="5" xfId="0" applyFont="1" applyBorder="1"/>
    <xf numFmtId="0" fontId="4" fillId="0" borderId="8" xfId="0" applyFont="1" applyBorder="1" applyAlignment="1">
      <alignment horizontal="right"/>
    </xf>
    <xf numFmtId="0" fontId="9" fillId="0" borderId="0" xfId="0" applyFont="1"/>
    <xf numFmtId="0" fontId="1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5" fillId="4" borderId="1" xfId="0" applyFont="1" applyFill="1" applyBorder="1"/>
    <xf numFmtId="0" fontId="5" fillId="4" borderId="6" xfId="0" applyFont="1" applyFill="1" applyBorder="1"/>
    <xf numFmtId="0" fontId="5" fillId="4" borderId="9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4" fillId="5" borderId="1" xfId="0" applyFont="1" applyFill="1" applyBorder="1"/>
    <xf numFmtId="0" fontId="4" fillId="5" borderId="9" xfId="0" applyFont="1" applyFill="1" applyBorder="1"/>
    <xf numFmtId="0" fontId="7" fillId="6" borderId="0" xfId="0" applyFont="1" applyFill="1" applyAlignment="1">
      <alignment horizontal="left" vertical="center" indent="1"/>
    </xf>
    <xf numFmtId="0" fontId="4" fillId="0" borderId="0" xfId="0" applyFont="1"/>
    <xf numFmtId="0" fontId="5" fillId="4" borderId="2" xfId="0" applyFont="1" applyFill="1" applyBorder="1"/>
    <xf numFmtId="0" fontId="4" fillId="0" borderId="3" xfId="0" applyFont="1" applyBorder="1"/>
    <xf numFmtId="0" fontId="4" fillId="5" borderId="2" xfId="0" applyFont="1" applyFill="1" applyBorder="1"/>
    <xf numFmtId="0" fontId="4" fillId="8" borderId="1" xfId="0" applyFont="1" applyFill="1" applyBorder="1" applyAlignment="1">
      <alignment horizontal="left"/>
    </xf>
    <xf numFmtId="0" fontId="4" fillId="8" borderId="9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4" fillId="5" borderId="3" xfId="0" applyFont="1" applyFill="1" applyBorder="1"/>
    <xf numFmtId="0" fontId="4" fillId="5" borderId="0" xfId="0" applyFont="1" applyFill="1"/>
    <xf numFmtId="0" fontId="19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16" fontId="17" fillId="10" borderId="11" xfId="0" applyNumberFormat="1" applyFont="1" applyFill="1" applyBorder="1" applyAlignment="1">
      <alignment horizontal="center"/>
    </xf>
    <xf numFmtId="16" fontId="17" fillId="10" borderId="13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45">
    <dxf>
      <font>
        <b/>
        <i val="0"/>
      </font>
      <fill>
        <patternFill>
          <bgColor theme="4" tint="0.3999450666829432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</font>
      <fill>
        <patternFill>
          <bgColor theme="3" tint="0.7999816888943144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3864"/>
          <bgColor rgb="FF2E539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rgb="FFBFBFBF"/>
        </bottom>
      </border>
    </dxf>
    <dxf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border outline="0">
        <top style="thin">
          <color theme="2" tint="-0.24994659260841701"/>
        </top>
      </border>
    </dxf>
    <dxf>
      <border outline="0">
        <top style="thin">
          <color rgb="FFBFBFBF"/>
        </top>
        <bottom style="thin">
          <color theme="2" tint="-0.24994659260841701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1F3864"/>
          <bgColor rgb="FF2E539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8696B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152400</xdr:rowOff>
    </xdr:from>
    <xdr:to>
      <xdr:col>1</xdr:col>
      <xdr:colOff>1085340</xdr:colOff>
      <xdr:row>0</xdr:row>
      <xdr:rowOff>476040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7175" y="152400"/>
          <a:ext cx="1037715" cy="3236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8D747-4FA5-43A2-ABFA-5B08C922F351}" name="Tabela1" displayName="Tabela1" ref="B5:N15" totalsRowShown="0" headerRowDxfId="44" headerRowBorderDxfId="43" tableBorderDxfId="42" totalsRowBorderDxfId="41">
  <autoFilter ref="B5:N15" xr:uid="{D478D747-4FA5-43A2-ABFA-5B08C922F351}"/>
  <tableColumns count="13">
    <tableColumn id="1" xr3:uid="{6A0565E7-B404-4E9B-AC8A-E1D19BF3C291}" name="ATUALIZACAO" dataDxfId="40"/>
    <tableColumn id="2" xr3:uid="{70FF753A-0327-4AA6-B467-52BA309932A8}" name="EMPRESA" dataDxfId="39"/>
    <tableColumn id="3" xr3:uid="{C4C1A79C-B859-4FDC-8C82-0516C29628C9}" name="OBRA" dataDxfId="38"/>
    <tableColumn id="4" xr3:uid="{41CCA519-3A76-4D5A-AA60-0D52C4344BB0}" name="ITEM_PL" dataDxfId="37"/>
    <tableColumn id="5" xr3:uid="{EDCD4863-5789-4C80-B8D3-90EE43FF2A0A}" name="SERVICO" dataDxfId="36"/>
    <tableColumn id="6" xr3:uid="{D56F8142-EB3C-4D59-92BC-43C22EBF6640}" name="INSUMO" dataDxfId="35"/>
    <tableColumn id="7" xr3:uid="{13FF5C26-0715-44EF-AF92-A99EF1E00117}" name="FORNECEDOR" dataDxfId="34"/>
    <tableColumn id="8" xr3:uid="{C2418962-53A9-4B3B-8B17-5D92AD0808F5}" name="PROCESSO" dataDxfId="33"/>
    <tableColumn id="9" xr3:uid="{E733A88A-D888-4FA0-98CE-32E4BA2EC384}" name="DATA_DE_PAGAMENTO" dataDxfId="32"/>
    <tableColumn id="10" xr3:uid="{A3B6D50B-90DE-4F62-8110-CD7949851098}" name="PAGO" dataDxfId="31" dataCellStyle="Moeda"/>
    <tableColumn id="11" xr3:uid="{250526DD-2948-4589-A24E-F25684B7CA6A}" name="A_PAGAR" dataDxfId="30" dataCellStyle="Moeda"/>
    <tableColumn id="12" xr3:uid="{CD1D8E7C-861B-40C6-B3AF-B5E3BECC79CB}" name="DATA_GERACAO" dataDxfId="29" dataCellStyle="Moeda"/>
    <tableColumn id="13" xr3:uid="{7BD8591D-BC4D-437F-86B8-CB5ACF6F4650}" name="CHAVE" dataDxfId="28" dataCellStyle="Moeda">
      <calculatedColumnFormula>_xlfn.CONCAT(Tabela1[[#This Row],[ITEM_PL]]," - ",MID(Tabela1[[#This Row],[SERVICO]],1,SEARCH(" ",Tabela1[[#This Row],[SERVICO]],1)-1))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C6E807-94A4-4F91-AC5C-966875D85F1F}" name="Tabela2" displayName="Tabela2" ref="P5:Y11" totalsRowShown="0" headerRowDxfId="27" dataDxfId="25" headerRowBorderDxfId="26" tableBorderDxfId="24" totalsRowBorderDxfId="23" dataCellStyle="Moeda">
  <autoFilter ref="P5:Y11" xr:uid="{96C6E807-94A4-4F91-AC5C-966875D85F1F}"/>
  <tableColumns count="10">
    <tableColumn id="1" xr3:uid="{7D626042-BA9A-4165-9257-C1B7491D6015}" name="EMPRESA" dataDxfId="22"/>
    <tableColumn id="2" xr3:uid="{E8B52835-A23F-488C-A0BA-3B608E107C04}" name="OBRA" dataDxfId="21"/>
    <tableColumn id="3" xr3:uid="{70D1B596-D32C-4412-BFAE-2538A6FF26E0}" name="SERVIÇO" dataDxfId="20"/>
    <tableColumn id="4" xr3:uid="{AD940D8E-10FA-4DF3-9F6D-6D1B2D65C731}" name="INSUMO" dataDxfId="19"/>
    <tableColumn id="5" xr3:uid="{A2651F4A-0DAD-47D2-BEF7-6FA0610074DF}" name="FORNECEDOR" dataDxfId="18"/>
    <tableColumn id="6" xr3:uid="{B1A3B7D3-3A37-4CD2-9FD3-80701069C1DE}" name="ITEM PL" dataDxfId="17"/>
    <tableColumn id="7" xr3:uid="{C95FA5A3-2346-4901-A683-B845D0E1EEDE}" name="CONTRATO" dataDxfId="16"/>
    <tableColumn id="8" xr3:uid="{5352135F-F601-4A40-8120-C8E65A79DC6B}" name="TOTAL DO CONTRATO" dataDxfId="15" dataCellStyle="Moeda"/>
    <tableColumn id="9" xr3:uid="{3FB61A31-A6E0-4D5A-850C-AAAF1DDC22DF}" name="TOTAL APROVADO" dataDxfId="14" dataCellStyle="Moeda"/>
    <tableColumn id="10" xr3:uid="{DA557696-8969-4F53-B49A-2061F3701ECF}" name="TOTAL SALDO" dataDxfId="13" dataCellStyle="Moed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E6C091-2CD8-473B-AB66-45E907DE0AFC}" name="Tabela3" displayName="Tabela3" ref="AB5:AD11" totalsRowShown="0" headerRowDxfId="12" headerRowBorderDxfId="11" tableBorderDxfId="10" totalsRowBorderDxfId="9">
  <autoFilter ref="AB5:AD11" xr:uid="{52E6C091-2CD8-473B-AB66-45E907DE0AFC}"/>
  <tableColumns count="3">
    <tableColumn id="1" xr3:uid="{B9C2CB01-F88E-401D-B6D4-3BCDC95A5688}" name="ITEM" dataDxfId="8"/>
    <tableColumn id="2" xr3:uid="{9359F888-D957-40E3-A157-4F00DFFF12EE}" name="ALOCAÇÃO" dataDxfId="7"/>
    <tableColumn id="3" xr3:uid="{18BFEF88-3898-4F9E-94D3-5B8251E4EE26}" name="VALOR PREVISTO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E53"/>
  <sheetViews>
    <sheetView showGridLines="0" tabSelected="1" topLeftCell="A30" zoomScaleNormal="100" workbookViewId="0">
      <selection activeCell="AC15" sqref="AC15"/>
    </sheetView>
  </sheetViews>
  <sheetFormatPr defaultColWidth="3.140625" defaultRowHeight="15" x14ac:dyDescent="0.25"/>
  <cols>
    <col min="2" max="2" width="38" customWidth="1"/>
    <col min="3" max="3" width="18.7109375" bestFit="1" customWidth="1"/>
    <col min="4" max="4" width="14.28515625" bestFit="1" customWidth="1"/>
    <col min="5" max="5" width="18.28515625" bestFit="1" customWidth="1"/>
  </cols>
  <sheetData>
    <row r="1" spans="2:5" ht="45.75" customHeight="1" x14ac:dyDescent="0.25"/>
    <row r="2" spans="2:5" ht="7.5" customHeight="1" x14ac:dyDescent="0.25"/>
    <row r="3" spans="2:5" ht="25.5" customHeight="1" x14ac:dyDescent="0.25">
      <c r="B3" s="97" t="s">
        <v>0</v>
      </c>
      <c r="C3" s="97"/>
      <c r="D3" s="97"/>
      <c r="E3" s="97"/>
    </row>
    <row r="4" spans="2:5" ht="15.75" customHeight="1" x14ac:dyDescent="0.25">
      <c r="B4" s="98" t="s">
        <v>1</v>
      </c>
      <c r="C4" s="98"/>
      <c r="D4" s="98"/>
      <c r="E4" s="98"/>
    </row>
    <row r="6" spans="2:5" ht="18" customHeight="1" x14ac:dyDescent="0.25">
      <c r="B6" s="82" t="s">
        <v>2</v>
      </c>
      <c r="C6" s="82"/>
      <c r="D6" s="82"/>
      <c r="E6" s="82"/>
    </row>
    <row r="7" spans="2:5" x14ac:dyDescent="0.25">
      <c r="B7" s="72" t="s">
        <v>3</v>
      </c>
      <c r="C7" s="83" t="s">
        <v>4</v>
      </c>
      <c r="D7" s="84"/>
      <c r="E7" s="85"/>
    </row>
    <row r="8" spans="2:5" x14ac:dyDescent="0.25">
      <c r="B8" s="73" t="s">
        <v>5</v>
      </c>
      <c r="C8" s="83" t="s">
        <v>6</v>
      </c>
      <c r="D8" s="84"/>
      <c r="E8" s="85"/>
    </row>
    <row r="9" spans="2:5" x14ac:dyDescent="0.25">
      <c r="B9" s="73" t="s">
        <v>7</v>
      </c>
      <c r="C9" s="83" t="s">
        <v>8</v>
      </c>
      <c r="D9" s="84"/>
      <c r="E9" s="85"/>
    </row>
    <row r="10" spans="2:5" x14ac:dyDescent="0.25">
      <c r="B10" s="73" t="s">
        <v>9</v>
      </c>
      <c r="C10" s="83" t="s">
        <v>10</v>
      </c>
      <c r="D10" s="84"/>
      <c r="E10" s="85"/>
    </row>
    <row r="11" spans="2:5" x14ac:dyDescent="0.25">
      <c r="B11" s="74" t="s">
        <v>11</v>
      </c>
      <c r="C11" s="83" t="s">
        <v>12</v>
      </c>
      <c r="D11" s="84"/>
      <c r="E11" s="85"/>
    </row>
    <row r="13" spans="2:5" ht="18" customHeight="1" x14ac:dyDescent="0.25">
      <c r="B13" s="82" t="s">
        <v>13</v>
      </c>
      <c r="C13" s="82"/>
      <c r="D13" s="82"/>
      <c r="E13" s="82"/>
    </row>
    <row r="14" spans="2:5" x14ac:dyDescent="0.25">
      <c r="B14" s="72" t="s">
        <v>3</v>
      </c>
      <c r="C14" s="83" t="s">
        <v>4</v>
      </c>
      <c r="D14" s="84"/>
      <c r="E14" s="85"/>
    </row>
    <row r="15" spans="2:5" x14ac:dyDescent="0.25">
      <c r="B15" s="73" t="s">
        <v>5</v>
      </c>
      <c r="C15" s="83" t="s">
        <v>6</v>
      </c>
      <c r="D15" s="84"/>
      <c r="E15" s="85"/>
    </row>
    <row r="16" spans="2:5" x14ac:dyDescent="0.25">
      <c r="B16" s="73" t="s">
        <v>7</v>
      </c>
      <c r="C16" s="83" t="s">
        <v>8</v>
      </c>
      <c r="D16" s="84"/>
      <c r="E16" s="85"/>
    </row>
    <row r="17" spans="2:5" x14ac:dyDescent="0.25">
      <c r="B17" s="73" t="s">
        <v>9</v>
      </c>
      <c r="C17" s="83" t="s">
        <v>10</v>
      </c>
      <c r="D17" s="84"/>
      <c r="E17" s="85"/>
    </row>
    <row r="18" spans="2:5" x14ac:dyDescent="0.25">
      <c r="B18" s="74" t="s">
        <v>11</v>
      </c>
      <c r="C18" s="83" t="s">
        <v>12</v>
      </c>
      <c r="D18" s="84"/>
      <c r="E18" s="85"/>
    </row>
    <row r="20" spans="2:5" ht="18" customHeight="1" x14ac:dyDescent="0.25">
      <c r="B20" s="82" t="s">
        <v>14</v>
      </c>
      <c r="C20" s="82"/>
      <c r="D20" s="82"/>
      <c r="E20" s="82"/>
    </row>
    <row r="21" spans="2:5" x14ac:dyDescent="0.25">
      <c r="B21" s="75" t="s">
        <v>15</v>
      </c>
      <c r="C21" s="67">
        <v>46238</v>
      </c>
      <c r="D21" s="3" t="s">
        <v>16</v>
      </c>
      <c r="E21" s="67">
        <v>46244</v>
      </c>
    </row>
    <row r="22" spans="2:5" x14ac:dyDescent="0.25">
      <c r="B22" s="76" t="s">
        <v>17</v>
      </c>
      <c r="C22" s="67"/>
    </row>
    <row r="24" spans="2:5" ht="18" customHeight="1" x14ac:dyDescent="0.25">
      <c r="B24" s="82" t="s">
        <v>18</v>
      </c>
      <c r="C24" s="82"/>
      <c r="D24" s="82"/>
      <c r="E24" s="82"/>
    </row>
    <row r="25" spans="2:5" x14ac:dyDescent="0.25">
      <c r="B25" s="72" t="s">
        <v>19</v>
      </c>
      <c r="C25" s="4" t="s">
        <v>20</v>
      </c>
      <c r="D25" s="77" t="s">
        <v>21</v>
      </c>
      <c r="E25" s="4" t="s">
        <v>22</v>
      </c>
    </row>
    <row r="26" spans="2:5" x14ac:dyDescent="0.25">
      <c r="B26" s="74" t="s">
        <v>23</v>
      </c>
      <c r="C26" s="4" t="s">
        <v>24</v>
      </c>
      <c r="D26" s="78" t="s">
        <v>25</v>
      </c>
      <c r="E26" s="4" t="s">
        <v>26</v>
      </c>
    </row>
    <row r="28" spans="2:5" ht="18" customHeight="1" x14ac:dyDescent="0.25">
      <c r="B28" s="82" t="s">
        <v>27</v>
      </c>
      <c r="C28" s="82"/>
      <c r="D28" s="82"/>
      <c r="E28" s="82"/>
    </row>
    <row r="29" spans="2:5" x14ac:dyDescent="0.25">
      <c r="B29" s="72" t="s">
        <v>28</v>
      </c>
      <c r="C29" s="79" t="s">
        <v>29</v>
      </c>
      <c r="D29" s="70" t="s">
        <v>30</v>
      </c>
      <c r="E29" s="71"/>
    </row>
    <row r="30" spans="2:5" x14ac:dyDescent="0.25">
      <c r="B30" s="93" t="s">
        <v>31</v>
      </c>
      <c r="C30" s="91"/>
      <c r="D30" s="91"/>
      <c r="E30" s="6">
        <f>SUMIFS(Tabela1[A_PAGAR], Tabela1[DATA_DE_PAGAMENTO], "&gt;="&amp;C21, Tabela1[DATA_DE_PAGAMENTO], "&lt;="&amp;E21)</f>
        <v>0</v>
      </c>
    </row>
    <row r="31" spans="2:5" x14ac:dyDescent="0.25">
      <c r="B31" s="93" t="s">
        <v>32</v>
      </c>
      <c r="C31" s="91"/>
      <c r="D31" s="91"/>
      <c r="E31" s="6">
        <f>SUM(Tabela3[VALOR PREVISTO])</f>
        <v>0</v>
      </c>
    </row>
    <row r="32" spans="2:5" x14ac:dyDescent="0.25">
      <c r="B32" s="99" t="s">
        <v>33</v>
      </c>
      <c r="C32" s="100"/>
      <c r="D32" s="100"/>
      <c r="E32" s="7">
        <f>E30+E31</f>
        <v>0</v>
      </c>
    </row>
    <row r="33" spans="2:5" x14ac:dyDescent="0.25">
      <c r="B33" s="86" t="s">
        <v>34</v>
      </c>
      <c r="C33" s="87"/>
      <c r="D33" s="87"/>
      <c r="E33" s="5"/>
    </row>
    <row r="35" spans="2:5" ht="19.5" customHeight="1" x14ac:dyDescent="0.25">
      <c r="B35" s="90" t="s">
        <v>35</v>
      </c>
      <c r="C35" s="90"/>
      <c r="D35" s="90"/>
      <c r="E35" s="90"/>
    </row>
    <row r="36" spans="2:5" ht="19.5" customHeight="1" x14ac:dyDescent="0.3">
      <c r="B36" s="91" t="s">
        <v>36</v>
      </c>
      <c r="C36" s="91"/>
      <c r="D36" s="91"/>
      <c r="E36" s="8">
        <f>E32+E33-E29</f>
        <v>0</v>
      </c>
    </row>
    <row r="38" spans="2:5" ht="18" customHeight="1" x14ac:dyDescent="0.25">
      <c r="B38" s="82" t="s">
        <v>37</v>
      </c>
      <c r="C38" s="82"/>
      <c r="D38" s="82"/>
      <c r="E38" s="82"/>
    </row>
    <row r="39" spans="2:5" x14ac:dyDescent="0.25">
      <c r="B39" s="95" t="s">
        <v>38</v>
      </c>
      <c r="C39" s="96"/>
      <c r="D39" s="9" t="s">
        <v>39</v>
      </c>
      <c r="E39" s="9" t="s">
        <v>40</v>
      </c>
    </row>
    <row r="40" spans="2:5" x14ac:dyDescent="0.25">
      <c r="B40" s="83" t="s">
        <v>41</v>
      </c>
      <c r="C40" s="92"/>
      <c r="D40" s="10">
        <v>1</v>
      </c>
      <c r="E40" s="6">
        <f>$E$36*D40</f>
        <v>0</v>
      </c>
    </row>
    <row r="41" spans="2:5" x14ac:dyDescent="0.25">
      <c r="B41" s="88" t="s">
        <v>42</v>
      </c>
      <c r="C41" s="89"/>
      <c r="D41" s="11">
        <f>SUM(D40:D40)</f>
        <v>0</v>
      </c>
      <c r="E41" s="7">
        <f>SUM(E40:E40)</f>
        <v>0</v>
      </c>
    </row>
    <row r="43" spans="2:5" ht="18" customHeight="1" x14ac:dyDescent="0.25">
      <c r="B43" s="82" t="s">
        <v>43</v>
      </c>
      <c r="C43" s="82"/>
      <c r="D43" s="82"/>
      <c r="E43" s="82"/>
    </row>
    <row r="44" spans="2:5" x14ac:dyDescent="0.25">
      <c r="B44" s="94" t="s">
        <v>44</v>
      </c>
      <c r="C44" s="94"/>
      <c r="D44" s="94"/>
      <c r="E44" s="68">
        <f>'Controle EAP'!I6</f>
        <v>0</v>
      </c>
    </row>
    <row r="45" spans="2:5" x14ac:dyDescent="0.25">
      <c r="B45" s="94" t="s">
        <v>45</v>
      </c>
      <c r="C45" s="94"/>
      <c r="D45" s="94"/>
      <c r="E45" s="68">
        <f>'Controle EAP'!J6</f>
        <v>0</v>
      </c>
    </row>
    <row r="46" spans="2:5" x14ac:dyDescent="0.25">
      <c r="B46" s="94" t="s">
        <v>46</v>
      </c>
      <c r="C46" s="94"/>
      <c r="D46" s="94"/>
      <c r="E46" s="68">
        <f>E44-E45</f>
        <v>0</v>
      </c>
    </row>
    <row r="47" spans="2:5" x14ac:dyDescent="0.25">
      <c r="B47" s="94" t="s">
        <v>47</v>
      </c>
      <c r="C47" s="94"/>
      <c r="D47" s="94"/>
      <c r="E47" s="69">
        <f>E45/E44</f>
        <v>0</v>
      </c>
    </row>
    <row r="49" spans="2:2" x14ac:dyDescent="0.25">
      <c r="B49" s="1"/>
    </row>
    <row r="51" spans="2:2" x14ac:dyDescent="0.25">
      <c r="B51" s="16" t="s">
        <v>48</v>
      </c>
    </row>
    <row r="52" spans="2:2" x14ac:dyDescent="0.25">
      <c r="B52" s="15" t="s">
        <v>49</v>
      </c>
    </row>
    <row r="53" spans="2:2" x14ac:dyDescent="0.25">
      <c r="B53" s="15" t="s">
        <v>50</v>
      </c>
    </row>
  </sheetData>
  <mergeCells count="32">
    <mergeCell ref="C16:E16"/>
    <mergeCell ref="B20:E20"/>
    <mergeCell ref="B24:E24"/>
    <mergeCell ref="B28:E28"/>
    <mergeCell ref="B3:E3"/>
    <mergeCell ref="B4:E4"/>
    <mergeCell ref="B13:E13"/>
    <mergeCell ref="C7:E7"/>
    <mergeCell ref="C8:E8"/>
    <mergeCell ref="C10:E10"/>
    <mergeCell ref="C11:E11"/>
    <mergeCell ref="B45:D45"/>
    <mergeCell ref="B46:D46"/>
    <mergeCell ref="B47:D47"/>
    <mergeCell ref="B44:D44"/>
    <mergeCell ref="B39:C39"/>
    <mergeCell ref="B6:E6"/>
    <mergeCell ref="C9:E9"/>
    <mergeCell ref="B33:D33"/>
    <mergeCell ref="B41:C41"/>
    <mergeCell ref="B43:E43"/>
    <mergeCell ref="B35:E35"/>
    <mergeCell ref="B36:D36"/>
    <mergeCell ref="B38:E38"/>
    <mergeCell ref="B40:C40"/>
    <mergeCell ref="B30:D30"/>
    <mergeCell ref="C17:E17"/>
    <mergeCell ref="C18:E18"/>
    <mergeCell ref="C14:E14"/>
    <mergeCell ref="C15:E15"/>
    <mergeCell ref="B31:D31"/>
    <mergeCell ref="B32:D32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E684-8F4C-4EE3-8810-6975420C9028}">
  <sheetPr codeName="Planilha4"/>
  <dimension ref="B3:D251"/>
  <sheetViews>
    <sheetView showGridLines="0" topLeftCell="A209" workbookViewId="0">
      <selection activeCell="D20" sqref="D20"/>
    </sheetView>
  </sheetViews>
  <sheetFormatPr defaultRowHeight="15" x14ac:dyDescent="0.25"/>
  <cols>
    <col min="2" max="2" width="13.85546875" bestFit="1" customWidth="1"/>
    <col min="3" max="3" width="13.140625" customWidth="1"/>
    <col min="4" max="4" width="126.140625" bestFit="1" customWidth="1"/>
  </cols>
  <sheetData>
    <row r="3" spans="2:4" x14ac:dyDescent="0.25">
      <c r="B3" s="66" t="str" cm="1">
        <f t="array" ref="B3:B251">_xlfn._xlws.FILTER('Controle EAP'!G7:G279,'Controle EAP'!F7:F279=4,"")</f>
        <v>01.001.001.001</v>
      </c>
      <c r="C3" s="66" t="str" cm="1">
        <f t="array" ref="C3:C251">_xlfn._xlws.FILTER('Controle EAP'!D7:D279,'Controle EAP'!F7:F279=4,"")</f>
        <v>SERVIÇO DE ELABORAÇÃO DE MANUAL DO PROPRIETÁRIO</v>
      </c>
      <c r="D3" s="66" t="str">
        <f>_xlfn.CONCAT(B3,"-",LEFT(C3,100))</f>
        <v>01.001.001.001-SERVIÇO DE ELABORAÇÃO DE MANUAL DO PROPRIETÁRIO</v>
      </c>
    </row>
    <row r="4" spans="2:4" x14ac:dyDescent="0.25">
      <c r="B4" s="66" t="str">
        <v>01.001.002.001</v>
      </c>
      <c r="C4" s="66" t="str">
        <v>BARRACÕES DE OBRA</v>
      </c>
      <c r="D4" s="66" t="str">
        <f t="shared" ref="D4:D67" si="0">_xlfn.CONCAT(B4,"-",LEFT(C4,100))</f>
        <v>01.001.002.001-BARRACÕES DE OBRA</v>
      </c>
    </row>
    <row r="5" spans="2:4" x14ac:dyDescent="0.25">
      <c r="B5" s="66" t="str">
        <v>01.001.002.002</v>
      </c>
      <c r="C5" s="66" t="str">
        <v>INSTALAÇÕES PROVISORIAS DE AGUA E ESGOTO</v>
      </c>
      <c r="D5" s="66" t="str">
        <f t="shared" si="0"/>
        <v>01.001.002.002-INSTALAÇÕES PROVISORIAS DE AGUA E ESGOTO</v>
      </c>
    </row>
    <row r="6" spans="2:4" x14ac:dyDescent="0.25">
      <c r="B6" s="66" t="str">
        <v>01.001.002.003</v>
      </c>
      <c r="C6" s="66" t="str">
        <v>INSTALAÇÕES PROVISORIAS DE ENERGIA</v>
      </c>
      <c r="D6" s="66" t="str">
        <f t="shared" si="0"/>
        <v>01.001.002.003-INSTALAÇÕES PROVISORIAS DE ENERGIA</v>
      </c>
    </row>
    <row r="7" spans="2:4" x14ac:dyDescent="0.25">
      <c r="B7" s="66" t="str">
        <v>01.001.002.004</v>
      </c>
      <c r="C7" s="66" t="str">
        <v>SERVIÇO PRESTADO - EQUIPE DE APOIO DE CANTEIRO DE OBRA</v>
      </c>
      <c r="D7" s="66" t="str">
        <f t="shared" si="0"/>
        <v>01.001.002.004-SERVIÇO PRESTADO - EQUIPE DE APOIO DE CANTEIRO DE OBRA</v>
      </c>
    </row>
    <row r="8" spans="2:4" x14ac:dyDescent="0.25">
      <c r="B8" s="66" t="str">
        <v>01.001.002.005</v>
      </c>
      <c r="C8" s="66" t="str">
        <v>SERVIÇO DE EXECUÇÃO DE INSTALAÇÃO DO SISTEMA DE ALARME/SEGURANÇA</v>
      </c>
      <c r="D8" s="66" t="str">
        <f t="shared" si="0"/>
        <v>01.001.002.005-SERVIÇO DE EXECUÇÃO DE INSTALAÇÃO DO SISTEMA DE ALARME/SEGURANÇA</v>
      </c>
    </row>
    <row r="9" spans="2:4" x14ac:dyDescent="0.25">
      <c r="B9" s="66" t="str">
        <v>01.001.002.006</v>
      </c>
      <c r="C9" s="66" t="str">
        <v>SERVIÇO DE MANUTENÇÃO DE ALARME DE SEGURANÇA</v>
      </c>
      <c r="D9" s="66" t="str">
        <f t="shared" si="0"/>
        <v>01.001.002.006-SERVIÇO DE MANUTENÇÃO DE ALARME DE SEGURANÇA</v>
      </c>
    </row>
    <row r="10" spans="2:4" x14ac:dyDescent="0.25">
      <c r="B10" s="66" t="str">
        <v>01.001.002.007</v>
      </c>
      <c r="C10" s="66" t="str">
        <v>INSTALAÇÕES DE CANTEIRO</v>
      </c>
      <c r="D10" s="66" t="str">
        <f t="shared" si="0"/>
        <v>01.001.002.007-INSTALAÇÕES DE CANTEIRO</v>
      </c>
    </row>
    <row r="11" spans="2:4" x14ac:dyDescent="0.25">
      <c r="B11" s="66" t="str">
        <v>01.001.002.008</v>
      </c>
      <c r="C11" s="66" t="str">
        <v>OUTRAS MANUTENÇÕES DE CANTEIRO E SUPORTES TÉCNICOS</v>
      </c>
      <c r="D11" s="66" t="str">
        <f t="shared" si="0"/>
        <v>01.001.002.008-OUTRAS MANUTENÇÕES DE CANTEIRO E SUPORTES TÉCNICOS</v>
      </c>
    </row>
    <row r="12" spans="2:4" x14ac:dyDescent="0.25">
      <c r="B12" s="66" t="str">
        <v>01.001.002.009</v>
      </c>
      <c r="C12" s="66" t="str">
        <v>SERVIÇO DE INSTALAÇÃO DE TAPUME</v>
      </c>
      <c r="D12" s="66" t="str">
        <f t="shared" si="0"/>
        <v>01.001.002.009-SERVIÇO DE INSTALAÇÃO DE TAPUME</v>
      </c>
    </row>
    <row r="13" spans="2:4" x14ac:dyDescent="0.25">
      <c r="B13" s="66" t="str">
        <v>01.001.002.010</v>
      </c>
      <c r="C13" s="66" t="str">
        <v>RETIRADA DE TAPUME</v>
      </c>
      <c r="D13" s="66" t="str">
        <f t="shared" si="0"/>
        <v>01.001.002.010-RETIRADA DE TAPUME</v>
      </c>
    </row>
    <row r="14" spans="2:4" x14ac:dyDescent="0.25">
      <c r="B14" s="66" t="str">
        <v>01.001.002.011</v>
      </c>
      <c r="C14" s="66" t="str">
        <v>SERVIÇO DE SERRALHERIA EM GERAL</v>
      </c>
      <c r="D14" s="66" t="str">
        <f t="shared" si="0"/>
        <v>01.001.002.011-SERVIÇO DE SERRALHERIA EM GERAL</v>
      </c>
    </row>
    <row r="15" spans="2:4" x14ac:dyDescent="0.25">
      <c r="B15" s="66" t="str">
        <v>01.001.002.012</v>
      </c>
      <c r="C15" s="66" t="str">
        <v>TAPUME</v>
      </c>
      <c r="D15" s="66" t="str">
        <f t="shared" si="0"/>
        <v>01.001.002.012-TAPUME</v>
      </c>
    </row>
    <row r="16" spans="2:4" x14ac:dyDescent="0.25">
      <c r="B16" s="66" t="str">
        <v>01.001.002.013</v>
      </c>
      <c r="C16" s="66" t="str">
        <v>ELABORAÇÃO DE PROJETO - IMPLANTAÇÃO DE SUBESTAÇÃO</v>
      </c>
      <c r="D16" s="66" t="str">
        <f t="shared" si="0"/>
        <v>01.001.002.013-ELABORAÇÃO DE PROJETO - IMPLANTAÇÃO DE SUBESTAÇÃO</v>
      </c>
    </row>
    <row r="17" spans="2:4" x14ac:dyDescent="0.25">
      <c r="B17" s="66" t="str">
        <v>01.001.002.014</v>
      </c>
      <c r="C17" s="66" t="str">
        <v>PLACAS DE OBRA</v>
      </c>
      <c r="D17" s="66" t="str">
        <f t="shared" si="0"/>
        <v>01.001.002.014-PLACAS DE OBRA</v>
      </c>
    </row>
    <row r="18" spans="2:4" x14ac:dyDescent="0.25">
      <c r="B18" s="66" t="str">
        <v>01.001.003.001</v>
      </c>
      <c r="C18" s="66" t="str">
        <v>SERVIÇO DE MANUTENÇÃO DE CONTROLE DE AR CONDICIONADO</v>
      </c>
      <c r="D18" s="66" t="str">
        <f t="shared" si="0"/>
        <v>01.001.003.001-SERVIÇO DE MANUTENÇÃO DE CONTROLE DE AR CONDICIONADO</v>
      </c>
    </row>
    <row r="19" spans="2:4" x14ac:dyDescent="0.25">
      <c r="B19" s="66" t="str">
        <v>01.001.003.002</v>
      </c>
      <c r="C19" s="66" t="str">
        <v>SERVIÇO DE INSTALAÇÃO DE BEBEDOUROS</v>
      </c>
      <c r="D19" s="66" t="str">
        <f t="shared" si="0"/>
        <v>01.001.003.002-SERVIÇO DE INSTALAÇÃO DE BEBEDOUROS</v>
      </c>
    </row>
    <row r="20" spans="2:4" x14ac:dyDescent="0.25">
      <c r="B20" s="66" t="str">
        <v>01.001.003.003</v>
      </c>
      <c r="C20" s="66" t="str">
        <v>LOCAÇÃO DIÁRIA DE BETONEIRA 320LT A 400LT SEM CARREGADO R - ALIMENTAÇÃO: ENERGIA ELÉTRICA</v>
      </c>
      <c r="D20" s="66" t="str">
        <f t="shared" si="0"/>
        <v>01.001.003.003-LOCAÇÃO DIÁRIA DE BETONEIRA 320LT A 400LT SEM CARREGADO R - ALIMENTAÇÃO: ENERGIA ELÉTRICA</v>
      </c>
    </row>
    <row r="21" spans="2:4" x14ac:dyDescent="0.25">
      <c r="B21" s="66" t="str">
        <v>01.001.003.004</v>
      </c>
      <c r="C21" s="66" t="str">
        <v>SERVIÇO DE MANUTENÇÃO CORRETIVA DE FURADEIRA</v>
      </c>
      <c r="D21" s="66" t="str">
        <f t="shared" si="0"/>
        <v>01.001.003.004-SERVIÇO DE MANUTENÇÃO CORRETIVA DE FURADEIRA</v>
      </c>
    </row>
    <row r="22" spans="2:4" x14ac:dyDescent="0.25">
      <c r="B22" s="66" t="str">
        <v>01.001.003.005</v>
      </c>
      <c r="C22" s="66" t="str">
        <v>SERVIÇO DE LAVANDERIA - CAPAS PARA LAVAR</v>
      </c>
      <c r="D22" s="66" t="str">
        <f t="shared" si="0"/>
        <v>01.001.003.005-SERVIÇO DE LAVANDERIA - CAPAS PARA LAVAR</v>
      </c>
    </row>
    <row r="23" spans="2:4" x14ac:dyDescent="0.25">
      <c r="B23" s="66" t="str">
        <v>01.001.003.006</v>
      </c>
      <c r="C23" s="66" t="str">
        <v>CORTE DE VIDRO PARA ESTRUTURA METÁLICA</v>
      </c>
      <c r="D23" s="66" t="str">
        <f t="shared" si="0"/>
        <v>01.001.003.006-CORTE DE VIDRO PARA ESTRUTURA METÁLICA</v>
      </c>
    </row>
    <row r="24" spans="2:4" x14ac:dyDescent="0.25">
      <c r="B24" s="66" t="str">
        <v>01.001.003.007</v>
      </c>
      <c r="C24" s="66" t="str">
        <v>LAZER</v>
      </c>
      <c r="D24" s="66" t="str">
        <f t="shared" si="0"/>
        <v>01.001.003.007-LAZER</v>
      </c>
    </row>
    <row r="25" spans="2:4" x14ac:dyDescent="0.25">
      <c r="B25" s="66" t="str">
        <v>01.001.003.008</v>
      </c>
      <c r="C25" s="66" t="str">
        <v>SERVIÇO DE MANUTENÇÃO DE PISTOLA FINCA PIN</v>
      </c>
      <c r="D25" s="66" t="str">
        <f t="shared" si="0"/>
        <v>01.001.003.008-SERVIÇO DE MANUTENÇÃO DE PISTOLA FINCA PIN</v>
      </c>
    </row>
    <row r="26" spans="2:4" x14ac:dyDescent="0.25">
      <c r="B26" s="66" t="str">
        <v>01.001.003.009</v>
      </c>
      <c r="C26" s="66" t="str">
        <v>LOCAÇÃO DIÁRIA DE POLICORTE - ALIMENTAÇÃO: ENERGIA ELÉTRICA</v>
      </c>
      <c r="D26" s="66" t="str">
        <f t="shared" si="0"/>
        <v>01.001.003.009-LOCAÇÃO DIÁRIA DE POLICORTE - ALIMENTAÇÃO: ENERGIA ELÉTRICA</v>
      </c>
    </row>
    <row r="27" spans="2:4" x14ac:dyDescent="0.25">
      <c r="B27" s="66" t="str">
        <v>01.001.003.010</v>
      </c>
      <c r="C27" s="66" t="str">
        <v>LOCAÇÃO DE RADIO COMUNICADOR</v>
      </c>
      <c r="D27" s="66" t="str">
        <f t="shared" si="0"/>
        <v>01.001.003.010-LOCAÇÃO DE RADIO COMUNICADOR</v>
      </c>
    </row>
    <row r="28" spans="2:4" x14ac:dyDescent="0.25">
      <c r="B28" s="66" t="str">
        <v>01.001.003.011</v>
      </c>
      <c r="C28" s="66" t="str">
        <v>SERVIÇO DE MANUTENÇÃO / CONSERTO - SERRA CIRCULAR</v>
      </c>
      <c r="D28" s="66" t="str">
        <f t="shared" si="0"/>
        <v>01.001.003.011-SERVIÇO DE MANUTENÇÃO / CONSERTO - SERRA CIRCULAR</v>
      </c>
    </row>
    <row r="29" spans="2:4" x14ac:dyDescent="0.25">
      <c r="B29" s="66" t="str">
        <v>01.001.003.012</v>
      </c>
      <c r="C29" s="66" t="str">
        <v>LOCAÇÃO DE MARTELETE ROMPEDOR 7KG</v>
      </c>
      <c r="D29" s="66" t="str">
        <f t="shared" si="0"/>
        <v>01.001.003.012-LOCAÇÃO DE MARTELETE ROMPEDOR 7KG</v>
      </c>
    </row>
    <row r="30" spans="2:4" x14ac:dyDescent="0.25">
      <c r="B30" s="66" t="str">
        <v>01.001.003.013</v>
      </c>
      <c r="C30" s="66" t="str">
        <v>MANUTENÇÕES DE MÁQUINAS E EQUIPAMENTOS</v>
      </c>
      <c r="D30" s="66" t="str">
        <f t="shared" si="0"/>
        <v>01.001.003.013-MANUTENÇÕES DE MÁQUINAS E EQUIPAMENTOS</v>
      </c>
    </row>
    <row r="31" spans="2:4" x14ac:dyDescent="0.25">
      <c r="B31" s="66" t="str">
        <v>01.001.003.014</v>
      </c>
      <c r="C31" s="66" t="str">
        <v>MANUTENÇÕES DE MÁQUINAS E EQUIPAMENTOS</v>
      </c>
      <c r="D31" s="66" t="str">
        <f t="shared" si="0"/>
        <v>01.001.003.014-MANUTENÇÕES DE MÁQUINAS E EQUIPAMENTOS</v>
      </c>
    </row>
    <row r="32" spans="2:4" x14ac:dyDescent="0.25">
      <c r="B32" s="66" t="str">
        <v>01.001.003.015</v>
      </c>
      <c r="C32" s="66" t="str">
        <v>AQUISIÇÃO DE MAQUINAS E EQUIPAMENTOS DE MAIOR PORTE</v>
      </c>
      <c r="D32" s="66" t="str">
        <f t="shared" si="0"/>
        <v>01.001.003.015-AQUISIÇÃO DE MAQUINAS E EQUIPAMENTOS DE MAIOR PORTE</v>
      </c>
    </row>
    <row r="33" spans="2:4" x14ac:dyDescent="0.25">
      <c r="B33" s="66" t="str">
        <v>01.001.003.016</v>
      </c>
      <c r="C33" s="66" t="str">
        <v>COMPUTADORES E NOTEBOOKS</v>
      </c>
      <c r="D33" s="66" t="str">
        <f t="shared" si="0"/>
        <v>01.001.003.016-COMPUTADORES E NOTEBOOKS</v>
      </c>
    </row>
    <row r="34" spans="2:4" x14ac:dyDescent="0.25">
      <c r="B34" s="66" t="str">
        <v>01.001.003.017</v>
      </c>
      <c r="C34" s="66" t="str">
        <v>SOFTWARE PARA RELÓGIO DE PONTO POR FUNCIONÁRIO</v>
      </c>
      <c r="D34" s="66" t="str">
        <f t="shared" si="0"/>
        <v>01.001.003.017-SOFTWARE PARA RELÓGIO DE PONTO POR FUNCIONÁRIO</v>
      </c>
    </row>
    <row r="35" spans="2:4" x14ac:dyDescent="0.25">
      <c r="B35" s="66" t="str">
        <v>01.001.003.018</v>
      </c>
      <c r="C35" s="66" t="str">
        <v>LOCAÇÃO MENSAL DE ESMERILHADEIRA / LIXADEIRA ANGULAR 9 - ALIMENTAÇÃO: ENERGIA ELÉTRICA</v>
      </c>
      <c r="D35" s="66" t="str">
        <f t="shared" si="0"/>
        <v>01.001.003.018-LOCAÇÃO MENSAL DE ESMERILHADEIRA / LIXADEIRA ANGULAR 9 - ALIMENTAÇÃO: ENERGIA ELÉTRICA</v>
      </c>
    </row>
    <row r="36" spans="2:4" x14ac:dyDescent="0.25">
      <c r="B36" s="66" t="str">
        <v>01.001.003.019</v>
      </c>
      <c r="C36" s="66" t="str">
        <v>LOCAÇÃO MENSAL DE PARAFUSADEIRA 3 / 8 - A BATERIA</v>
      </c>
      <c r="D36" s="66" t="str">
        <f t="shared" si="0"/>
        <v>01.001.003.019-LOCAÇÃO MENSAL DE PARAFUSADEIRA 3 / 8 - A BATERIA</v>
      </c>
    </row>
    <row r="37" spans="2:4" x14ac:dyDescent="0.25">
      <c r="B37" s="66" t="str">
        <v>01.001.003.020</v>
      </c>
      <c r="C37" s="66" t="str">
        <v>FERRAMENTAS</v>
      </c>
      <c r="D37" s="66" t="str">
        <f t="shared" si="0"/>
        <v>01.001.003.020-FERRAMENTAS</v>
      </c>
    </row>
    <row r="38" spans="2:4" x14ac:dyDescent="0.25">
      <c r="B38" s="66" t="str">
        <v>01.001.003.021</v>
      </c>
      <c r="C38" s="66" t="str">
        <v>PROTEÇÃO DE FOSSO DO ELEVADOR</v>
      </c>
      <c r="D38" s="66" t="str">
        <f t="shared" si="0"/>
        <v>01.001.003.021-PROTEÇÃO DE FOSSO DO ELEVADOR</v>
      </c>
    </row>
    <row r="39" spans="2:4" x14ac:dyDescent="0.25">
      <c r="B39" s="66" t="str">
        <v>01.001.003.022</v>
      </c>
      <c r="C39" s="66" t="str">
        <v>PROTEÇÃO DE ESCADA</v>
      </c>
      <c r="D39" s="66" t="str">
        <f t="shared" si="0"/>
        <v>01.001.003.022-PROTEÇÃO DE ESCADA</v>
      </c>
    </row>
    <row r="40" spans="2:4" x14ac:dyDescent="0.25">
      <c r="B40" s="66" t="str">
        <v>01.001.003.023</v>
      </c>
      <c r="C40" s="66" t="str">
        <v>EQUIPAMENTOS DE PROTEÇÃO INDIVIDUAL</v>
      </c>
      <c r="D40" s="66" t="str">
        <f t="shared" si="0"/>
        <v>01.001.003.023-EQUIPAMENTOS DE PROTEÇÃO INDIVIDUAL</v>
      </c>
    </row>
    <row r="41" spans="2:4" x14ac:dyDescent="0.25">
      <c r="B41" s="66" t="str">
        <v>01.001.003.024</v>
      </c>
      <c r="C41" s="66" t="str">
        <v>EQUIPAMENTOS DE COMBATE A INCÊNDIO</v>
      </c>
      <c r="D41" s="66" t="str">
        <f t="shared" si="0"/>
        <v>01.001.003.024-EQUIPAMENTOS DE COMBATE A INCÊNDIO</v>
      </c>
    </row>
    <row r="42" spans="2:4" x14ac:dyDescent="0.25">
      <c r="B42" s="66" t="str">
        <v>01.001.003.025</v>
      </c>
      <c r="C42" s="66" t="str">
        <v>BAIA PARA PRODUTOS RECICLAVEIS</v>
      </c>
      <c r="D42" s="66" t="str">
        <f t="shared" si="0"/>
        <v>01.001.003.025-BAIA PARA PRODUTOS RECICLAVEIS</v>
      </c>
    </row>
    <row r="43" spans="2:4" x14ac:dyDescent="0.25">
      <c r="B43" s="66" t="str">
        <v>01.001.004.001</v>
      </c>
      <c r="C43" s="66" t="str">
        <v>MESTRE DE OBRAS</v>
      </c>
      <c r="D43" s="66" t="str">
        <f t="shared" si="0"/>
        <v>01.001.004.001-MESTRE DE OBRAS</v>
      </c>
    </row>
    <row r="44" spans="2:4" x14ac:dyDescent="0.25">
      <c r="B44" s="66" t="str">
        <v>01.001.004.002</v>
      </c>
      <c r="C44" s="66" t="str">
        <v>GERENTE DE OBRA</v>
      </c>
      <c r="D44" s="66" t="str">
        <f t="shared" si="0"/>
        <v>01.001.004.002-GERENTE DE OBRA</v>
      </c>
    </row>
    <row r="45" spans="2:4" x14ac:dyDescent="0.25">
      <c r="B45" s="66" t="str">
        <v>01.001.004.003</v>
      </c>
      <c r="C45" s="66" t="str">
        <v>ALMOXARIFE / ADMINISTRATIVO</v>
      </c>
      <c r="D45" s="66" t="str">
        <f t="shared" si="0"/>
        <v>01.001.004.003-ALMOXARIFE / ADMINISTRATIVO</v>
      </c>
    </row>
    <row r="46" spans="2:4" x14ac:dyDescent="0.25">
      <c r="B46" s="66" t="str">
        <v>01.001.004.004</v>
      </c>
      <c r="C46" s="66" t="str">
        <v>TÉCNICO DE SEGURANÇA</v>
      </c>
      <c r="D46" s="66" t="str">
        <f t="shared" si="0"/>
        <v>01.001.004.004-TÉCNICO DE SEGURANÇA</v>
      </c>
    </row>
    <row r="47" spans="2:4" x14ac:dyDescent="0.25">
      <c r="B47" s="66" t="str">
        <v>01.001.004.005</v>
      </c>
      <c r="C47" s="66" t="str">
        <v>ENCARREGADO ACABAMENTO</v>
      </c>
      <c r="D47" s="66" t="str">
        <f t="shared" si="0"/>
        <v>01.001.004.005-ENCARREGADO ACABAMENTO</v>
      </c>
    </row>
    <row r="48" spans="2:4" x14ac:dyDescent="0.25">
      <c r="B48" s="66" t="str">
        <v>01.001.004.006</v>
      </c>
      <c r="C48" s="66" t="str">
        <v>MÃO DE OBRA - PORTEIRO</v>
      </c>
      <c r="D48" s="66" t="str">
        <f t="shared" si="0"/>
        <v>01.001.004.006-MÃO DE OBRA - PORTEIRO</v>
      </c>
    </row>
    <row r="49" spans="2:4" x14ac:dyDescent="0.25">
      <c r="B49" s="66" t="str">
        <v>01.001.004.007</v>
      </c>
      <c r="C49" s="66" t="str">
        <v>SERVIÇO DE VIGILÂNCIA / PORTARIA (NOTURNO)</v>
      </c>
      <c r="D49" s="66" t="str">
        <f t="shared" si="0"/>
        <v>01.001.004.007-SERVIÇO DE VIGILÂNCIA / PORTARIA (NOTURNO)</v>
      </c>
    </row>
    <row r="50" spans="2:4" x14ac:dyDescent="0.25">
      <c r="B50" s="66" t="str">
        <v>01.001.004.008</v>
      </c>
      <c r="C50" s="66" t="str">
        <v>SERVIÇO PRESTADO - EQUIPE ADMINISTRATIVA EM CANTEIRO DE OBRA</v>
      </c>
      <c r="D50" s="66" t="str">
        <f t="shared" si="0"/>
        <v>01.001.004.008-SERVIÇO PRESTADO - EQUIPE ADMINISTRATIVA EM CANTEIRO DE OBRA</v>
      </c>
    </row>
    <row r="51" spans="2:4" x14ac:dyDescent="0.25">
      <c r="B51" s="66" t="str">
        <v>01.001.004.009</v>
      </c>
      <c r="C51" s="66" t="str">
        <v>MÃO DE OBRA - SERVENTE</v>
      </c>
      <c r="D51" s="66" t="str">
        <f t="shared" si="0"/>
        <v>01.001.004.009-MÃO DE OBRA - SERVENTE</v>
      </c>
    </row>
    <row r="52" spans="2:4" x14ac:dyDescent="0.25">
      <c r="B52" s="66" t="str">
        <v>01.001.004.010</v>
      </c>
      <c r="C52" s="66" t="str">
        <v>OPERADOR DE BETONEIRA</v>
      </c>
      <c r="D52" s="66" t="str">
        <f t="shared" si="0"/>
        <v>01.001.004.010-OPERADOR DE BETONEIRA</v>
      </c>
    </row>
    <row r="53" spans="2:4" x14ac:dyDescent="0.25">
      <c r="B53" s="66" t="str">
        <v>01.001.004.011</v>
      </c>
      <c r="C53" s="66" t="str">
        <v>MATERIAIS DE EXPEDIENTE E LIMPEZA</v>
      </c>
      <c r="D53" s="66" t="str">
        <f t="shared" si="0"/>
        <v>01.001.004.011-MATERIAIS DE EXPEDIENTE E LIMPEZA</v>
      </c>
    </row>
    <row r="54" spans="2:4" x14ac:dyDescent="0.25">
      <c r="B54" s="66" t="str">
        <v>01.001.004.012</v>
      </c>
      <c r="C54" s="66" t="str">
        <v>SERVIÇO DE ANALISTA DE OBRA</v>
      </c>
      <c r="D54" s="66" t="str">
        <f t="shared" si="0"/>
        <v>01.001.004.012-SERVIÇO DE ANALISTA DE OBRA</v>
      </c>
    </row>
    <row r="55" spans="2:4" x14ac:dyDescent="0.25">
      <c r="B55" s="66" t="str">
        <v>01.001.004.013</v>
      </c>
      <c r="C55" s="66" t="str">
        <v>VALE TRANSPORTE</v>
      </c>
      <c r="D55" s="66" t="str">
        <f t="shared" si="0"/>
        <v>01.001.004.013-VALE TRANSPORTE</v>
      </c>
    </row>
    <row r="56" spans="2:4" x14ac:dyDescent="0.25">
      <c r="B56" s="66" t="str">
        <v>01.001.004.014</v>
      </c>
      <c r="C56" s="66" t="str">
        <v>CONSUMO ALIMENTAÇÃO (CAFE, ALMOÇO)</v>
      </c>
      <c r="D56" s="66" t="str">
        <f t="shared" si="0"/>
        <v>01.001.004.014-CONSUMO ALIMENTAÇÃO (CAFE, ALMOÇO)</v>
      </c>
    </row>
    <row r="57" spans="2:4" x14ac:dyDescent="0.25">
      <c r="B57" s="66" t="str">
        <v>01.001.004.015</v>
      </c>
      <c r="C57" s="66" t="str">
        <v>FRETES &amp; CARRETOS</v>
      </c>
      <c r="D57" s="66" t="str">
        <f t="shared" si="0"/>
        <v>01.001.004.015-FRETES &amp; CARRETOS</v>
      </c>
    </row>
    <row r="58" spans="2:4" x14ac:dyDescent="0.25">
      <c r="B58" s="66" t="str">
        <v>01.001.004.016</v>
      </c>
      <c r="C58" s="66" t="str">
        <v>PCMSO - PROGRAMA DE CONTROLE MÉDICO NA SAÚDE OCUPACIONAL</v>
      </c>
      <c r="D58" s="66" t="str">
        <f t="shared" si="0"/>
        <v>01.001.004.016-PCMSO - PROGRAMA DE CONTROLE MÉDICO NA SAÚDE OCUPACIONAL</v>
      </c>
    </row>
    <row r="59" spans="2:4" x14ac:dyDescent="0.25">
      <c r="B59" s="66" t="str">
        <v>01.001.004.017</v>
      </c>
      <c r="C59" s="66" t="str">
        <v>PCMAT - PROGRAMA DE CONDIÇÕES DO MEIO AMBIENTE DE TRABALHO</v>
      </c>
      <c r="D59" s="66" t="str">
        <f t="shared" si="0"/>
        <v>01.001.004.017-PCMAT - PROGRAMA DE CONDIÇÕES DO MEIO AMBIENTE DE TRABALHO</v>
      </c>
    </row>
    <row r="60" spans="2:4" x14ac:dyDescent="0.25">
      <c r="B60" s="66" t="str">
        <v>01.001.004.018</v>
      </c>
      <c r="C60" s="66" t="str">
        <v>MANUTENÇÃO PCMAT/PCMSO</v>
      </c>
      <c r="D60" s="66" t="str">
        <f t="shared" si="0"/>
        <v>01.001.004.018-MANUTENÇÃO PCMAT/PCMSO</v>
      </c>
    </row>
    <row r="61" spans="2:4" x14ac:dyDescent="0.25">
      <c r="B61" s="66" t="str">
        <v>01.001.004.019</v>
      </c>
      <c r="C61" s="66" t="str">
        <v>EXAME ADMISSIONAL E ASO´S</v>
      </c>
      <c r="D61" s="66" t="str">
        <f t="shared" si="0"/>
        <v>01.001.004.019-EXAME ADMISSIONAL E ASO´S</v>
      </c>
    </row>
    <row r="62" spans="2:4" x14ac:dyDescent="0.25">
      <c r="B62" s="66" t="str">
        <v>01.001.004.020</v>
      </c>
      <c r="C62" s="66" t="str">
        <v>SERVIÇO DE BÔNUS MENSAL EQUIPE ADMINISTRATIVA - CUMPRIMENTO DE ORÇAMENTO</v>
      </c>
      <c r="D62" s="66" t="str">
        <f t="shared" si="0"/>
        <v>01.001.004.020-SERVIÇO DE BÔNUS MENSAL EQUIPE ADMINISTRATIVA - CUMPRIMENTO DE ORÇAMENTO</v>
      </c>
    </row>
    <row r="63" spans="2:4" x14ac:dyDescent="0.25">
      <c r="B63" s="66" t="str">
        <v>01.001.004.021</v>
      </c>
      <c r="C63" s="66" t="str">
        <v>CURSOS E TREINAMENTOS</v>
      </c>
      <c r="D63" s="66" t="str">
        <f t="shared" si="0"/>
        <v>01.001.004.021-CURSOS E TREINAMENTOS</v>
      </c>
    </row>
    <row r="64" spans="2:4" x14ac:dyDescent="0.25">
      <c r="B64" s="66" t="str">
        <v>01.001.004.022</v>
      </c>
      <c r="C64" s="66" t="str">
        <v>SEGURO DE OBRA</v>
      </c>
      <c r="D64" s="66" t="str">
        <f t="shared" si="0"/>
        <v>01.001.004.022-SEGURO DE OBRA</v>
      </c>
    </row>
    <row r="65" spans="2:4" x14ac:dyDescent="0.25">
      <c r="B65" s="66" t="str">
        <v>01.001.004.023</v>
      </c>
      <c r="C65" s="66" t="str">
        <v>CONSUMOS (ÁGUA, ENERGIA E INTERNET/TELEFONE)</v>
      </c>
      <c r="D65" s="66" t="str">
        <f t="shared" si="0"/>
        <v>01.001.004.023-CONSUMOS (ÁGUA, ENERGIA E INTERNET/TELEFONE)</v>
      </c>
    </row>
    <row r="66" spans="2:4" x14ac:dyDescent="0.25">
      <c r="B66" s="66" t="str">
        <v>01.001.004.024</v>
      </c>
      <c r="C66" s="66" t="str">
        <v>RETIRADA DE ENTULHO</v>
      </c>
      <c r="D66" s="66" t="str">
        <f t="shared" si="0"/>
        <v>01.001.004.024-RETIRADA DE ENTULHO</v>
      </c>
    </row>
    <row r="67" spans="2:4" x14ac:dyDescent="0.25">
      <c r="B67" s="66" t="str">
        <v>01.001.004.025</v>
      </c>
      <c r="C67" s="66" t="str">
        <v>MATERIAIS DE EXPEDIENTE E LIMPEZA</v>
      </c>
      <c r="D67" s="66" t="str">
        <f t="shared" si="0"/>
        <v>01.001.004.025-MATERIAIS DE EXPEDIENTE E LIMPEZA</v>
      </c>
    </row>
    <row r="68" spans="2:4" x14ac:dyDescent="0.25">
      <c r="B68" s="66" t="str">
        <v>01.001.004.026</v>
      </c>
      <c r="C68" s="66" t="str">
        <v>SSMA - SERVIÇO DE ELABORAÇÃO LTCAT (LAUDO TÉCNICO DE CONDIÇÕES AMBIENTAIS DO TRABALHO)</v>
      </c>
      <c r="D68" s="66" t="str">
        <f t="shared" ref="D68:D131" si="1">_xlfn.CONCAT(B68,"-",LEFT(C68,100))</f>
        <v>01.001.004.026-SSMA - SERVIÇO DE ELABORAÇÃO LTCAT (LAUDO TÉCNICO DE CONDIÇÕES AMBIENTAIS DO TRABALHO)</v>
      </c>
    </row>
    <row r="69" spans="2:4" x14ac:dyDescent="0.25">
      <c r="B69" s="66" t="str">
        <v>01.001.005.001</v>
      </c>
      <c r="C69" s="66" t="str">
        <v>FORNECIMENTO DE CAÇAMBA PARA TRANSPORTE DE ENTULHO</v>
      </c>
      <c r="D69" s="66" t="str">
        <f t="shared" si="1"/>
        <v>01.001.005.001-FORNECIMENTO DE CAÇAMBA PARA TRANSPORTE DE ENTULHO</v>
      </c>
    </row>
    <row r="70" spans="2:4" x14ac:dyDescent="0.25">
      <c r="B70" s="66" t="str">
        <v>01.001.005.002</v>
      </c>
      <c r="C70" s="66" t="str">
        <v>LIMPEZA E DRENAGEM DE VIAS FLUVIAIS</v>
      </c>
      <c r="D70" s="66" t="str">
        <f t="shared" si="1"/>
        <v>01.001.005.002-LIMPEZA E DRENAGEM DE VIAS FLUVIAIS</v>
      </c>
    </row>
    <row r="71" spans="2:4" x14ac:dyDescent="0.25">
      <c r="B71" s="66" t="str">
        <v>01.002.001.001</v>
      </c>
      <c r="C71" s="66" t="str">
        <v>DEMOLIÇÃO.</v>
      </c>
      <c r="D71" s="66" t="str">
        <f t="shared" si="1"/>
        <v>01.002.001.001-DEMOLIÇÃO.</v>
      </c>
    </row>
    <row r="72" spans="2:4" x14ac:dyDescent="0.25">
      <c r="B72" s="66" t="str">
        <v>01.002.002.001</v>
      </c>
      <c r="C72" s="66" t="str">
        <v>FORNECIMENTO, CARGA E TRANSPORTE DE MATERIAL 1ª CATEGORIA</v>
      </c>
      <c r="D72" s="66" t="str">
        <f t="shared" si="1"/>
        <v>01.002.002.001-FORNECIMENTO, CARGA E TRANSPORTE DE MATERIAL 1ª CATEGORIA</v>
      </c>
    </row>
    <row r="73" spans="2:4" x14ac:dyDescent="0.25">
      <c r="B73" s="66" t="str">
        <v>01.002.002.002</v>
      </c>
      <c r="C73" s="66" t="str">
        <v>LOCAÇÃO MENSAL DE RETROESCAVADEIRA COM OPERADOR / DIESEL</v>
      </c>
      <c r="D73" s="66" t="str">
        <f t="shared" si="1"/>
        <v>01.002.002.002-LOCAÇÃO MENSAL DE RETROESCAVADEIRA COM OPERADOR / DIESEL</v>
      </c>
    </row>
    <row r="74" spans="2:4" x14ac:dyDescent="0.25">
      <c r="B74" s="66" t="str">
        <v>01.002.003.001</v>
      </c>
      <c r="C74" s="66" t="str">
        <v>MOBILIZAÇÃO DE EQUIPAMENTOS</v>
      </c>
      <c r="D74" s="66" t="str">
        <f t="shared" si="1"/>
        <v>01.002.003.001-MOBILIZAÇÃO DE EQUIPAMENTOS</v>
      </c>
    </row>
    <row r="75" spans="2:4" x14ac:dyDescent="0.25">
      <c r="B75" s="66" t="str">
        <v>01.002.003.002</v>
      </c>
      <c r="C75" s="66" t="str">
        <v>SERVICO DE ESCAVACAO DE ESTACA CONVENCIONAL MECANICAMENTE - DIAM 30CM</v>
      </c>
      <c r="D75" s="66" t="str">
        <f t="shared" si="1"/>
        <v>01.002.003.002-SERVICO DE ESCAVACAO DE ESTACA CONVENCIONAL MECANICAMENTE - DIAM 30CM</v>
      </c>
    </row>
    <row r="76" spans="2:4" x14ac:dyDescent="0.25">
      <c r="B76" s="66" t="str">
        <v>01.002.003.003</v>
      </c>
      <c r="C76" s="66" t="str">
        <v>RETIRADA DE MATERIAL DE BOTA FORA</v>
      </c>
      <c r="D76" s="66" t="str">
        <f t="shared" si="1"/>
        <v>01.002.003.003-RETIRADA DE MATERIAL DE BOTA FORA</v>
      </c>
    </row>
    <row r="77" spans="2:4" x14ac:dyDescent="0.25">
      <c r="B77" s="66" t="str">
        <v>01.002.003.004</v>
      </c>
      <c r="C77" s="66" t="str">
        <v>SERVIÇO DE FUNDAÇÃO - PREPARAÇÃO DA CABEÇA DA ESTACA METÁLICA</v>
      </c>
      <c r="D77" s="66" t="str">
        <f t="shared" si="1"/>
        <v>01.002.003.004-SERVIÇO DE FUNDAÇÃO - PREPARAÇÃO DA CABEÇA DA ESTACA METÁLICA</v>
      </c>
    </row>
    <row r="78" spans="2:4" x14ac:dyDescent="0.25">
      <c r="B78" s="66" t="str">
        <v>01.002.003.005</v>
      </c>
      <c r="C78" s="66" t="str">
        <v>SERVIÇO DE PREPARAÇÃO DE CORTE E REPARO EM ESTACAS</v>
      </c>
      <c r="D78" s="66" t="str">
        <f t="shared" si="1"/>
        <v>01.002.003.005-SERVIÇO DE PREPARAÇÃO DE CORTE E REPARO EM ESTACAS</v>
      </c>
    </row>
    <row r="79" spans="2:4" x14ac:dyDescent="0.25">
      <c r="B79" s="66" t="str">
        <v>01.002.003.006</v>
      </c>
      <c r="C79" s="66" t="str">
        <v>CONCRETO USINADO 25MPA - SLUMP 14±2 - BRITA 0 - COM ½ ADITIVO (ADITIVO POLIFUNCIONAL) - NBR 12655</v>
      </c>
      <c r="D79" s="66" t="str">
        <f t="shared" si="1"/>
        <v>01.002.003.006-CONCRETO USINADO 25MPA - SLUMP 14±2 - BRITA 0 - COM ½ ADITIVO (ADITIVO POLIFUNCIONAL) - NBR 12655</v>
      </c>
    </row>
    <row r="80" spans="2:4" x14ac:dyDescent="0.25">
      <c r="B80" s="66" t="str">
        <v>01.002.003.007</v>
      </c>
      <c r="C80" s="66" t="str">
        <v>LANÇAMENTO DE CONCRETO</v>
      </c>
      <c r="D80" s="66" t="str">
        <f t="shared" si="1"/>
        <v>01.002.003.007-LANÇAMENTO DE CONCRETO</v>
      </c>
    </row>
    <row r="81" spans="2:4" x14ac:dyDescent="0.25">
      <c r="B81" s="66" t="str">
        <v>01.002.003.008</v>
      </c>
      <c r="C81" s="66" t="str">
        <v>CONTROLE TECNOLOGICO DO CONCRETO (ESTRUTURA)</v>
      </c>
      <c r="D81" s="66" t="str">
        <f t="shared" si="1"/>
        <v>01.002.003.008-CONTROLE TECNOLOGICO DO CONCRETO (ESTRUTURA)</v>
      </c>
    </row>
    <row r="82" spans="2:4" x14ac:dyDescent="0.25">
      <c r="B82" s="66" t="str">
        <v>01.002.003.009</v>
      </c>
      <c r="C82" s="66" t="str">
        <v>RETROESCAVADEIRA</v>
      </c>
      <c r="D82" s="66" t="str">
        <f t="shared" si="1"/>
        <v>01.002.003.009-RETROESCAVADEIRA</v>
      </c>
    </row>
    <row r="83" spans="2:4" x14ac:dyDescent="0.25">
      <c r="B83" s="66" t="str">
        <v>01.002.003.010</v>
      </c>
      <c r="C83" s="66" t="str">
        <v>ESCAVAÇÃO MANUAL DE BLOCOS</v>
      </c>
      <c r="D83" s="66" t="str">
        <f t="shared" si="1"/>
        <v>01.002.003.010-ESCAVAÇÃO MANUAL DE BLOCOS</v>
      </c>
    </row>
    <row r="84" spans="2:4" x14ac:dyDescent="0.25">
      <c r="B84" s="66" t="str">
        <v>01.002.003.011</v>
      </c>
      <c r="C84" s="66" t="str">
        <v>REATERRO COMPACTADO</v>
      </c>
      <c r="D84" s="66" t="str">
        <f t="shared" si="1"/>
        <v>01.002.003.011-REATERRO COMPACTADO</v>
      </c>
    </row>
    <row r="85" spans="2:4" x14ac:dyDescent="0.25">
      <c r="B85" s="66" t="str">
        <v>01.002.003.012</v>
      </c>
      <c r="C85" s="66" t="str">
        <v>RETIRADA DE MATERIAL DE BOTA FORA</v>
      </c>
      <c r="D85" s="66" t="str">
        <f t="shared" si="1"/>
        <v>01.002.003.012-RETIRADA DE MATERIAL DE BOTA FORA</v>
      </c>
    </row>
    <row r="86" spans="2:4" x14ac:dyDescent="0.25">
      <c r="B86" s="66" t="str">
        <v>01.002.003.013</v>
      </c>
      <c r="C86" s="66" t="str">
        <v>LASTRO DE CONCRETO MAGRO</v>
      </c>
      <c r="D86" s="66" t="str">
        <f t="shared" si="1"/>
        <v>01.002.003.013-LASTRO DE CONCRETO MAGRO</v>
      </c>
    </row>
    <row r="87" spans="2:4" x14ac:dyDescent="0.25">
      <c r="B87" s="66" t="str">
        <v>01.002.003.014</v>
      </c>
      <c r="C87" s="66" t="str">
        <v>MONTAGEM/DESMONTAGEM DE FORMA</v>
      </c>
      <c r="D87" s="66" t="str">
        <f t="shared" si="1"/>
        <v>01.002.003.014-MONTAGEM/DESMONTAGEM DE FORMA</v>
      </c>
    </row>
    <row r="88" spans="2:4" x14ac:dyDescent="0.25">
      <c r="B88" s="66" t="str">
        <v>01.002.003.015</v>
      </c>
      <c r="C88" s="66" t="str">
        <v>CORTE, DOBRA E MONTAGEM DE AÇO</v>
      </c>
      <c r="D88" s="66" t="str">
        <f t="shared" si="1"/>
        <v>01.002.003.015-CORTE, DOBRA E MONTAGEM DE AÇO</v>
      </c>
    </row>
    <row r="89" spans="2:4" x14ac:dyDescent="0.25">
      <c r="B89" s="66" t="str">
        <v>01.002.003.016</v>
      </c>
      <c r="C89" s="66" t="str">
        <v>CONCRETO USINADO BOMBEÁVEL FCK 50 MPA, BRITA 0 E 1 E SLUMP 16+-2</v>
      </c>
      <c r="D89" s="66" t="str">
        <f t="shared" si="1"/>
        <v>01.002.003.016-CONCRETO USINADO BOMBEÁVEL FCK 50 MPA, BRITA 0 E 1 E SLUMP 16+-2</v>
      </c>
    </row>
    <row r="90" spans="2:4" x14ac:dyDescent="0.25">
      <c r="B90" s="66" t="str">
        <v>01.002.003.017</v>
      </c>
      <c r="C90" s="66" t="str">
        <v>LANÇAMENTO DE CONCRETO</v>
      </c>
      <c r="D90" s="66" t="str">
        <f t="shared" si="1"/>
        <v>01.002.003.017-LANÇAMENTO DE CONCRETO</v>
      </c>
    </row>
    <row r="91" spans="2:4" x14ac:dyDescent="0.25">
      <c r="B91" s="66" t="str">
        <v>01.002.003.018</v>
      </c>
      <c r="C91" s="66" t="str">
        <v>CONTROLE TECNOLOGICO DO CONCRETO (ESTRUTURA)</v>
      </c>
      <c r="D91" s="66" t="str">
        <f t="shared" si="1"/>
        <v>01.002.003.018-CONTROLE TECNOLOGICO DO CONCRETO (ESTRUTURA)</v>
      </c>
    </row>
    <row r="92" spans="2:4" x14ac:dyDescent="0.25">
      <c r="B92" s="66" t="str">
        <v>01.002.003.019</v>
      </c>
      <c r="C92" s="66" t="str">
        <v>CONFECÇÃO DE FORMA CONTENÇÃO</v>
      </c>
      <c r="D92" s="66" t="str">
        <f t="shared" si="1"/>
        <v>01.002.003.019-CONFECÇÃO DE FORMA CONTENÇÃO</v>
      </c>
    </row>
    <row r="93" spans="2:4" x14ac:dyDescent="0.25">
      <c r="B93" s="66" t="str">
        <v>01.002.004.001</v>
      </c>
      <c r="C93" s="66" t="str">
        <v>SERVIÇO DE EXECUÇÃO DE CONFECÇÃO DE FORMA</v>
      </c>
      <c r="D93" s="66" t="str">
        <f t="shared" si="1"/>
        <v>01.002.004.001-SERVIÇO DE EXECUÇÃO DE CONFECÇÃO DE FORMA</v>
      </c>
    </row>
    <row r="94" spans="2:4" x14ac:dyDescent="0.25">
      <c r="B94" s="66" t="str">
        <v>01.002.004.002</v>
      </c>
      <c r="C94" s="66" t="str">
        <v>MONTAGEM/DESMONTAGEM DE FORMA</v>
      </c>
      <c r="D94" s="66" t="str">
        <f t="shared" si="1"/>
        <v>01.002.004.002-MONTAGEM/DESMONTAGEM DE FORMA</v>
      </c>
    </row>
    <row r="95" spans="2:4" x14ac:dyDescent="0.25">
      <c r="B95" s="66" t="str">
        <v>01.002.004.003</v>
      </c>
      <c r="C95" s="66" t="str">
        <v>CORTE, DOBRA E MONTAGEM DE AÇO</v>
      </c>
      <c r="D95" s="66" t="str">
        <f t="shared" si="1"/>
        <v>01.002.004.003-CORTE, DOBRA E MONTAGEM DE AÇO</v>
      </c>
    </row>
    <row r="96" spans="2:4" x14ac:dyDescent="0.25">
      <c r="B96" s="66" t="str">
        <v>01.002.004.004</v>
      </c>
      <c r="C96" s="66" t="str">
        <v>CONCRETO USINADO BOMBEÁVEL FCK 40 MPA, BRITA 0 E SLUMP 22+-3</v>
      </c>
      <c r="D96" s="66" t="str">
        <f t="shared" si="1"/>
        <v>01.002.004.004-CONCRETO USINADO BOMBEÁVEL FCK 40 MPA, BRITA 0 E SLUMP 22+-3</v>
      </c>
    </row>
    <row r="97" spans="2:4" x14ac:dyDescent="0.25">
      <c r="B97" s="66" t="str">
        <v>01.002.004.005</v>
      </c>
      <c r="C97" s="66" t="str">
        <v>TAXA DE BOMBA DE CONCRETO ATÉ A 35º LAJE</v>
      </c>
      <c r="D97" s="66" t="str">
        <f t="shared" si="1"/>
        <v>01.002.004.005-TAXA DE BOMBA DE CONCRETO ATÉ A 35º LAJE</v>
      </c>
    </row>
    <row r="98" spans="2:4" x14ac:dyDescent="0.25">
      <c r="B98" s="66" t="str">
        <v>01.002.004.006</v>
      </c>
      <c r="C98" s="66" t="str">
        <v>LANÇAMENTO DE CONCRETO PISO VASSOURADO</v>
      </c>
      <c r="D98" s="66" t="str">
        <f t="shared" si="1"/>
        <v>01.002.004.006-LANÇAMENTO DE CONCRETO PISO VASSOURADO</v>
      </c>
    </row>
    <row r="99" spans="2:4" x14ac:dyDescent="0.25">
      <c r="B99" s="66" t="str">
        <v>01.002.004.007</v>
      </c>
      <c r="C99" s="66" t="str">
        <v>CONTROLE TECNOLOGICO DO CONCRETO (ESTRUTURA)</v>
      </c>
      <c r="D99" s="66" t="str">
        <f t="shared" si="1"/>
        <v>01.002.004.007-CONTROLE TECNOLOGICO DO CONCRETO (ESTRUTURA)</v>
      </c>
    </row>
    <row r="100" spans="2:4" x14ac:dyDescent="0.25">
      <c r="B100" s="66" t="str">
        <v>01.002.004.008</v>
      </c>
      <c r="C100" s="66" t="str">
        <v>IMPERMEABILIZAÇÃO DE BALDRAME</v>
      </c>
      <c r="D100" s="66" t="str">
        <f t="shared" si="1"/>
        <v>01.002.004.008-IMPERMEABILIZAÇÃO DE BALDRAME</v>
      </c>
    </row>
    <row r="101" spans="2:4" x14ac:dyDescent="0.25">
      <c r="B101" s="66" t="str">
        <v>01.002.004.009</v>
      </c>
      <c r="C101" s="66" t="str">
        <v>REATERRO COMPACTADO</v>
      </c>
      <c r="D101" s="66" t="str">
        <f t="shared" si="1"/>
        <v>01.002.004.009-REATERRO COMPACTADO</v>
      </c>
    </row>
    <row r="102" spans="2:4" x14ac:dyDescent="0.25">
      <c r="B102" s="66" t="str">
        <v>01.002.004.010</v>
      </c>
      <c r="C102" s="66" t="str">
        <v>SERVIÇO DE EXECUÇÃO DE MONTAGEM DE ESTRUTURA METÁLICA</v>
      </c>
      <c r="D102" s="66" t="str">
        <f t="shared" si="1"/>
        <v>01.002.004.010-SERVIÇO DE EXECUÇÃO DE MONTAGEM DE ESTRUTURA METÁLICA</v>
      </c>
    </row>
    <row r="103" spans="2:4" x14ac:dyDescent="0.25">
      <c r="B103" s="66" t="str">
        <v>01.002.004.011</v>
      </c>
      <c r="C103" s="66" t="str">
        <v>SERVIÇO DE EXECUÇÃO DE MONTAGEM DE ESTRUTURA METÁLICA</v>
      </c>
      <c r="D103" s="66" t="str">
        <f t="shared" si="1"/>
        <v>01.002.004.011-SERVIÇO DE EXECUÇÃO DE MONTAGEM DE ESTRUTURA METÁLICA</v>
      </c>
    </row>
    <row r="104" spans="2:4" x14ac:dyDescent="0.25">
      <c r="B104" s="66" t="str">
        <v>01.002.004.012</v>
      </c>
      <c r="C104" s="66" t="str">
        <v>DEMOLIÇÃO DE ESTRUTRURA METÁLICA</v>
      </c>
      <c r="D104" s="66" t="str">
        <f t="shared" si="1"/>
        <v>01.002.004.012-DEMOLIÇÃO DE ESTRUTRURA METÁLICA</v>
      </c>
    </row>
    <row r="105" spans="2:4" x14ac:dyDescent="0.25">
      <c r="B105" s="66" t="str">
        <v>01.002.005.001</v>
      </c>
      <c r="C105" s="66" t="str">
        <v>ALV. DE TIJOLO CER. FURADO 14X19X29 CM</v>
      </c>
      <c r="D105" s="66" t="str">
        <f t="shared" si="1"/>
        <v>01.002.005.001-ALV. DE TIJOLO CER. FURADO 14X19X29 CM</v>
      </c>
    </row>
    <row r="106" spans="2:4" x14ac:dyDescent="0.25">
      <c r="B106" s="66" t="str">
        <v>01.002.005.002</v>
      </c>
      <c r="C106" s="66" t="str">
        <v>MARCAÇÃO DE ALVENARIA</v>
      </c>
      <c r="D106" s="66" t="str">
        <f t="shared" si="1"/>
        <v>01.002.005.002-MARCAÇÃO DE ALVENARIA</v>
      </c>
    </row>
    <row r="107" spans="2:4" x14ac:dyDescent="0.25">
      <c r="B107" s="66" t="str">
        <v>01.002.005.003</v>
      </c>
      <c r="C107" s="66" t="str">
        <v>SERVIÇO DE EXECUÇÃO DE ENCUNHAMENTO DE ALVENARIA</v>
      </c>
      <c r="D107" s="66" t="str">
        <f t="shared" si="1"/>
        <v>01.002.005.003-SERVIÇO DE EXECUÇÃO DE ENCUNHAMENTO DE ALVENARIA</v>
      </c>
    </row>
    <row r="108" spans="2:4" x14ac:dyDescent="0.25">
      <c r="B108" s="66" t="str">
        <v>01.002.005.004</v>
      </c>
      <c r="C108" s="66" t="str">
        <v>VERGA DE CONCRETO</v>
      </c>
      <c r="D108" s="66" t="str">
        <f t="shared" si="1"/>
        <v>01.002.005.004-VERGA DE CONCRETO</v>
      </c>
    </row>
    <row r="109" spans="2:4" x14ac:dyDescent="0.25">
      <c r="B109" s="66" t="str">
        <v>01.002.005.005</v>
      </c>
      <c r="C109" s="66" t="str">
        <v>CONTRAVERGA EM CONCRETO</v>
      </c>
      <c r="D109" s="66" t="str">
        <f t="shared" si="1"/>
        <v>01.002.005.005-CONTRAVERGA EM CONCRETO</v>
      </c>
    </row>
    <row r="110" spans="2:4" x14ac:dyDescent="0.25">
      <c r="B110" s="66" t="str">
        <v>01.002.005.006</v>
      </c>
      <c r="C110" s="66" t="str">
        <v>PAREDE DE DRY WALL 7CM</v>
      </c>
      <c r="D110" s="66" t="str">
        <f t="shared" si="1"/>
        <v>01.002.005.006-PAREDE DE DRY WALL 7CM</v>
      </c>
    </row>
    <row r="111" spans="2:4" x14ac:dyDescent="0.25">
      <c r="B111" s="66" t="str">
        <v>01.002.005.007</v>
      </c>
      <c r="C111" s="66" t="str">
        <v>SERVIÇO DE EXECUÇÃO DE GESSO ACARTONADO - SHAFT COM PLACA ST</v>
      </c>
      <c r="D111" s="66" t="str">
        <f t="shared" si="1"/>
        <v>01.002.005.007-SERVIÇO DE EXECUÇÃO DE GESSO ACARTONADO - SHAFT COM PLACA ST</v>
      </c>
    </row>
    <row r="112" spans="2:4" x14ac:dyDescent="0.25">
      <c r="B112" s="66" t="str">
        <v>01.002.005.008</v>
      </c>
      <c r="C112" s="66" t="str">
        <v>SERVIÇO DE EXECUÇÃO DE GESSO ACARTONADO - SHAFT COM PLACA RU</v>
      </c>
      <c r="D112" s="66" t="str">
        <f t="shared" si="1"/>
        <v>01.002.005.008-SERVIÇO DE EXECUÇÃO DE GESSO ACARTONADO - SHAFT COM PLACA RU</v>
      </c>
    </row>
    <row r="113" spans="2:4" x14ac:dyDescent="0.25">
      <c r="B113" s="66" t="str">
        <v>01.002.005.009</v>
      </c>
      <c r="C113" s="66" t="str">
        <v>SERVIÇO DE EXECUÇÃO DE DRYWALL EM PAREDE DUPLA 70MM - PLACA ST/RU</v>
      </c>
      <c r="D113" s="66" t="str">
        <f t="shared" si="1"/>
        <v>01.002.005.009-SERVIÇO DE EXECUÇÃO DE DRYWALL EM PAREDE DUPLA 70MM - PLACA ST/RU</v>
      </c>
    </row>
    <row r="114" spans="2:4" x14ac:dyDescent="0.25">
      <c r="B114" s="66" t="str">
        <v>01.002.005.010</v>
      </c>
      <c r="C114" s="66" t="str">
        <v>PAINEL FITNESS</v>
      </c>
      <c r="D114" s="66" t="str">
        <f t="shared" si="1"/>
        <v>01.002.005.010-PAINEL FITNESS</v>
      </c>
    </row>
    <row r="115" spans="2:4" x14ac:dyDescent="0.25">
      <c r="B115" s="66" t="str">
        <v>01.002.006.001</v>
      </c>
      <c r="C115" s="66" t="str">
        <v>PM2 - PORTA DE MADEIRA, ABRIR (1 FOLHA) 70X210X18</v>
      </c>
      <c r="D115" s="66" t="str">
        <f t="shared" si="1"/>
        <v>01.002.006.001-PM2 - PORTA DE MADEIRA, ABRIR (1 FOLHA) 70X210X18</v>
      </c>
    </row>
    <row r="116" spans="2:4" x14ac:dyDescent="0.25">
      <c r="B116" s="66" t="str">
        <v>01.002.006.002</v>
      </c>
      <c r="C116" s="66" t="str">
        <v>PM3 - PORTA DE MADEIRA, ABRIR (1 FOLHA) 80X210X10</v>
      </c>
      <c r="D116" s="66" t="str">
        <f t="shared" si="1"/>
        <v>01.002.006.002-PM3 - PORTA DE MADEIRA, ABRIR (1 FOLHA) 80X210X10</v>
      </c>
    </row>
    <row r="117" spans="2:4" x14ac:dyDescent="0.25">
      <c r="B117" s="66" t="str">
        <v>01.002.006.003</v>
      </c>
      <c r="C117" s="66" t="str">
        <v>FRETE PORTAS DE MADEIRA</v>
      </c>
      <c r="D117" s="66" t="str">
        <f t="shared" si="1"/>
        <v>01.002.006.003-FRETE PORTAS DE MADEIRA</v>
      </c>
    </row>
    <row r="118" spans="2:4" x14ac:dyDescent="0.25">
      <c r="B118" s="66" t="str">
        <v>01.002.006.004</v>
      </c>
      <c r="C118" s="66" t="str">
        <v>SERVIÇO DE IMAGENS PARA PUBLICIDADE (AVULSO)</v>
      </c>
      <c r="D118" s="66" t="str">
        <f t="shared" si="1"/>
        <v>01.002.006.004-SERVIÇO DE IMAGENS PARA PUBLICIDADE (AVULSO)</v>
      </c>
    </row>
    <row r="119" spans="2:4" x14ac:dyDescent="0.25">
      <c r="B119" s="66" t="str">
        <v>01.002.006.005</v>
      </c>
      <c r="C119" s="66" t="str">
        <v>SERVIÇO DE INSTALAÇÃO DE BOX</v>
      </c>
      <c r="D119" s="66" t="str">
        <f t="shared" si="1"/>
        <v>01.002.006.005-SERVIÇO DE INSTALAÇÃO DE BOX</v>
      </c>
    </row>
    <row r="120" spans="2:4" x14ac:dyDescent="0.25">
      <c r="B120" s="66" t="str">
        <v>01.002.006.006</v>
      </c>
      <c r="C120" s="66" t="str">
        <v>KIT PORTA PRONTA EM MADEIRA 80 X 210 COM FECHADURA E DOBRADIÇAS</v>
      </c>
      <c r="D120" s="66" t="str">
        <f t="shared" si="1"/>
        <v>01.002.006.006-KIT PORTA PRONTA EM MADEIRA 80 X 210 COM FECHADURA E DOBRADIÇAS</v>
      </c>
    </row>
    <row r="121" spans="2:4" x14ac:dyDescent="0.25">
      <c r="B121" s="66" t="str">
        <v>01.002.006.007</v>
      </c>
      <c r="C121" s="66" t="str">
        <v>KIT PORTA PRONTA DE CORRER INTERNA 80X210M</v>
      </c>
      <c r="D121" s="66" t="str">
        <f t="shared" si="1"/>
        <v>01.002.006.007-KIT PORTA PRONTA DE CORRER INTERNA 80X210M</v>
      </c>
    </row>
    <row r="122" spans="2:4" x14ac:dyDescent="0.25">
      <c r="B122" s="66" t="str">
        <v>01.002.006.008</v>
      </c>
      <c r="C122" s="66" t="str">
        <v>FECHADURA PADO,(INTERNA/EXTERNA) EXCETO PORTAS DE ENTRADA</v>
      </c>
      <c r="D122" s="66" t="str">
        <f t="shared" si="1"/>
        <v>01.002.006.008-FECHADURA PADO,(INTERNA/EXTERNA) EXCETO PORTAS DE ENTRADA</v>
      </c>
    </row>
    <row r="123" spans="2:4" x14ac:dyDescent="0.25">
      <c r="B123" s="66" t="str">
        <v>01.002.007.001</v>
      </c>
      <c r="C123" s="66" t="str">
        <v>ESQUADRIA EM ALUMÍNIO COM VIDRO TEMPERADO E PINTURA ELETROSTÁTICA</v>
      </c>
      <c r="D123" s="66" t="str">
        <f t="shared" si="1"/>
        <v>01.002.007.001-ESQUADRIA EM ALUMÍNIO COM VIDRO TEMPERADO E PINTURA ELETROSTÁTICA</v>
      </c>
    </row>
    <row r="124" spans="2:4" x14ac:dyDescent="0.25">
      <c r="B124" s="66" t="str">
        <v>01.002.007.002</v>
      </c>
      <c r="C124" s="66" t="str">
        <v>SPIDER GLASS COM SUSTENTAÇÃO EM VIDRO E SPIDER</v>
      </c>
      <c r="D124" s="66" t="str">
        <f t="shared" si="1"/>
        <v>01.002.007.002-SPIDER GLASS COM SUSTENTAÇÃO EM VIDRO E SPIDER</v>
      </c>
    </row>
    <row r="125" spans="2:4" x14ac:dyDescent="0.25">
      <c r="B125" s="66" t="str">
        <v>01.002.007.003</v>
      </c>
      <c r="C125" s="66" t="str">
        <v>PROTEÇÃO DE ESQUADRIA</v>
      </c>
      <c r="D125" s="66" t="str">
        <f t="shared" si="1"/>
        <v>01.002.007.003-PROTEÇÃO DE ESQUADRIA</v>
      </c>
    </row>
    <row r="126" spans="2:4" x14ac:dyDescent="0.25">
      <c r="B126" s="66" t="str">
        <v>01.002.007.004</v>
      </c>
      <c r="C126" s="66" t="str">
        <v>VIDRO LAMINADO INCOLOR 8MM (JANELAS FIXO)</v>
      </c>
      <c r="D126" s="66" t="str">
        <f t="shared" si="1"/>
        <v>01.002.007.004-VIDRO LAMINADO INCOLOR 8MM (JANELAS FIXO)</v>
      </c>
    </row>
    <row r="127" spans="2:4" x14ac:dyDescent="0.25">
      <c r="B127" s="66" t="str">
        <v>01.002.007.005</v>
      </c>
      <c r="C127" s="66" t="str">
        <v>SERVIÇO DE EXECUÇÃO DE ALAMBRADO</v>
      </c>
      <c r="D127" s="66" t="str">
        <f t="shared" si="1"/>
        <v>01.002.007.005-SERVIÇO DE EXECUÇÃO DE ALAMBRADO</v>
      </c>
    </row>
    <row r="128" spans="2:4" x14ac:dyDescent="0.25">
      <c r="B128" s="66" t="str">
        <v>01.002.007.006</v>
      </c>
      <c r="C128" s="66" t="str">
        <v>GUARDA CORPO METÁLICO COM PINTURA ELETROSTÁTICA COR GRAFITE</v>
      </c>
      <c r="D128" s="66" t="str">
        <f t="shared" si="1"/>
        <v>01.002.007.006-GUARDA CORPO METÁLICO COM PINTURA ELETROSTÁTICA COR GRAFITE</v>
      </c>
    </row>
    <row r="129" spans="2:4" x14ac:dyDescent="0.25">
      <c r="B129" s="66" t="str">
        <v>01.002.007.007</v>
      </c>
      <c r="C129" s="66" t="str">
        <v>GUARDA CORPO METÁLICO COM PINTURA ELETROSTÁTICA COR GRAFITE</v>
      </c>
      <c r="D129" s="66" t="str">
        <f t="shared" si="1"/>
        <v>01.002.007.007-GUARDA CORPO METÁLICO COM PINTURA ELETROSTÁTICA COR GRAFITE</v>
      </c>
    </row>
    <row r="130" spans="2:4" x14ac:dyDescent="0.25">
      <c r="B130" s="66" t="str">
        <v>01.002.007.008</v>
      </c>
      <c r="C130" s="66" t="str">
        <v>GUARDA CORPO DE ALUMÍNIO E VIDRO LAMINADO INCOLOR</v>
      </c>
      <c r="D130" s="66" t="str">
        <f t="shared" si="1"/>
        <v>01.002.007.008-GUARDA CORPO DE ALUMÍNIO E VIDRO LAMINADO INCOLOR</v>
      </c>
    </row>
    <row r="131" spans="2:4" x14ac:dyDescent="0.25">
      <c r="B131" s="66" t="str">
        <v>01.002.007.009</v>
      </c>
      <c r="C131" s="66" t="str">
        <v>ESCADA MARINHEIRO COM GUARDA CORPO</v>
      </c>
      <c r="D131" s="66" t="str">
        <f t="shared" si="1"/>
        <v>01.002.007.009-ESCADA MARINHEIRO COM GUARDA CORPO</v>
      </c>
    </row>
    <row r="132" spans="2:4" x14ac:dyDescent="0.25">
      <c r="B132" s="66" t="str">
        <v>01.002.007.010</v>
      </c>
      <c r="C132" s="66" t="str">
        <v>ESCADA MARINHEIRO</v>
      </c>
      <c r="D132" s="66" t="str">
        <f t="shared" ref="D132:D195" si="2">_xlfn.CONCAT(B132,"-",LEFT(C132,100))</f>
        <v>01.002.007.010-ESCADA MARINHEIRO</v>
      </c>
    </row>
    <row r="133" spans="2:4" x14ac:dyDescent="0.25">
      <c r="B133" s="66" t="str">
        <v>01.002.007.011</v>
      </c>
      <c r="C133" s="66" t="str">
        <v>SERVIÇO DE INSTALAÇÃO DE PORTA DE ENROLAR - INCLUSO MATERIAL</v>
      </c>
      <c r="D133" s="66" t="str">
        <f t="shared" si="2"/>
        <v>01.002.007.011-SERVIÇO DE INSTALAÇÃO DE PORTA DE ENROLAR - INCLUSO MATERIAL</v>
      </c>
    </row>
    <row r="134" spans="2:4" x14ac:dyDescent="0.25">
      <c r="B134" s="66" t="str">
        <v>01.002.008.001</v>
      </c>
      <c r="C134" s="66" t="str">
        <v>INSTALAÇÕES ELÉTRICAS / TELEFONICAS: FIAÇÃO E CABOS</v>
      </c>
      <c r="D134" s="66" t="str">
        <f t="shared" si="2"/>
        <v>01.002.008.001-INSTALAÇÕES ELÉTRICAS / TELEFONICAS: FIAÇÃO E CABOS</v>
      </c>
    </row>
    <row r="135" spans="2:4" x14ac:dyDescent="0.25">
      <c r="B135" s="66" t="str">
        <v>01.002.008.002</v>
      </c>
      <c r="C135" s="66" t="str">
        <v>GERADOR</v>
      </c>
      <c r="D135" s="66" t="str">
        <f t="shared" si="2"/>
        <v>01.002.008.002-GERADOR</v>
      </c>
    </row>
    <row r="136" spans="2:4" x14ac:dyDescent="0.25">
      <c r="B136" s="66" t="str">
        <v>01.002.008.003</v>
      </c>
      <c r="C136" s="66" t="str">
        <v>SERVIÇO DE MANUTENÇÃO / REFORMA - ADEQUAÇÕES ELÉTRICAS</v>
      </c>
      <c r="D136" s="66" t="str">
        <f t="shared" si="2"/>
        <v>01.002.008.003-SERVIÇO DE MANUTENÇÃO / REFORMA - ADEQUAÇÕES ELÉTRICAS</v>
      </c>
    </row>
    <row r="137" spans="2:4" x14ac:dyDescent="0.25">
      <c r="B137" s="66" t="str">
        <v>01.002.008.004</v>
      </c>
      <c r="C137" s="66" t="str">
        <v>ENTRADA DE ENERGIA - MATERIAL</v>
      </c>
      <c r="D137" s="66" t="str">
        <f t="shared" si="2"/>
        <v>01.002.008.004-ENTRADA DE ENERGIA - MATERIAL</v>
      </c>
    </row>
    <row r="138" spans="2:4" x14ac:dyDescent="0.25">
      <c r="B138" s="66" t="str">
        <v>01.002.008.005</v>
      </c>
      <c r="C138" s="66" t="str">
        <v>SERVIÇO DE INSTALAÇÃO DE INFRA PARA AR-CONDICIONADO / CLIMATIZADOR</v>
      </c>
      <c r="D138" s="66" t="str">
        <f t="shared" si="2"/>
        <v>01.002.008.005-SERVIÇO DE INSTALAÇÃO DE INFRA PARA AR-CONDICIONADO / CLIMATIZADOR</v>
      </c>
    </row>
    <row r="139" spans="2:4" x14ac:dyDescent="0.25">
      <c r="B139" s="66" t="str">
        <v>01.002.008.006</v>
      </c>
      <c r="C139" s="66" t="str">
        <v>SISTEMA DE DETECÇÃO E ALARME DE INCÊNDIO (SDAI)</v>
      </c>
      <c r="D139" s="66" t="str">
        <f t="shared" si="2"/>
        <v>01.002.008.006-SISTEMA DE DETECÇÃO E ALARME DE INCÊNDIO (SDAI)</v>
      </c>
    </row>
    <row r="140" spans="2:4" x14ac:dyDescent="0.25">
      <c r="B140" s="66" t="str">
        <v>01.002.008.007</v>
      </c>
      <c r="C140" s="66" t="str">
        <v>SPDA - MATERIAL</v>
      </c>
      <c r="D140" s="66" t="str">
        <f t="shared" si="2"/>
        <v>01.002.008.007-SPDA - MATERIAL</v>
      </c>
    </row>
    <row r="141" spans="2:4" x14ac:dyDescent="0.25">
      <c r="B141" s="66" t="str">
        <v>01.002.008.008</v>
      </c>
      <c r="C141" s="66" t="str">
        <v>INSTALACAO SPDA</v>
      </c>
      <c r="D141" s="66" t="str">
        <f t="shared" si="2"/>
        <v>01.002.008.008-INSTALACAO SPDA</v>
      </c>
    </row>
    <row r="142" spans="2:4" x14ac:dyDescent="0.25">
      <c r="B142" s="66" t="str">
        <v>01.002.008.009</v>
      </c>
      <c r="C142" s="66" t="str">
        <v>LUMINÁRIAS DA ÁREA COMUM</v>
      </c>
      <c r="D142" s="66" t="str">
        <f t="shared" si="2"/>
        <v>01.002.008.009-LUMINÁRIAS DA ÁREA COMUM</v>
      </c>
    </row>
    <row r="143" spans="2:4" x14ac:dyDescent="0.25">
      <c r="B143" s="66" t="str">
        <v>01.002.008.010</v>
      </c>
      <c r="C143" s="66" t="str">
        <v>LUMINARIAS</v>
      </c>
      <c r="D143" s="66" t="str">
        <f t="shared" si="2"/>
        <v>01.002.008.010-LUMINARIAS</v>
      </c>
    </row>
    <row r="144" spans="2:4" x14ac:dyDescent="0.25">
      <c r="B144" s="66" t="str">
        <v>01.002.008.011</v>
      </c>
      <c r="C144" s="66" t="str">
        <v>LUMINARIA DE EMERGENCIA</v>
      </c>
      <c r="D144" s="66" t="str">
        <f t="shared" si="2"/>
        <v>01.002.008.011-LUMINARIA DE EMERGENCIA</v>
      </c>
    </row>
    <row r="145" spans="2:4" x14ac:dyDescent="0.25">
      <c r="B145" s="66" t="str">
        <v>01.002.008.012</v>
      </c>
      <c r="C145" s="66" t="str">
        <v>INSTALACAO DE DADOS ESTRUTURADOS</v>
      </c>
      <c r="D145" s="66" t="str">
        <f t="shared" si="2"/>
        <v>01.002.008.012-INSTALACAO DE DADOS ESTRUTURADOS</v>
      </c>
    </row>
    <row r="146" spans="2:4" x14ac:dyDescent="0.25">
      <c r="B146" s="66" t="str">
        <v>01.002.008.013</v>
      </c>
      <c r="C146" s="66" t="str">
        <v>SERVIÇO DE EXECUÇÃO DE  INFRAESTRUTURA</v>
      </c>
      <c r="D146" s="66" t="str">
        <f t="shared" si="2"/>
        <v>01.002.008.013-SERVIÇO DE EXECUÇÃO DE  INFRAESTRUTURA</v>
      </c>
    </row>
    <row r="147" spans="2:4" x14ac:dyDescent="0.25">
      <c r="B147" s="66" t="str">
        <v>01.002.008.014</v>
      </c>
      <c r="C147" s="66" t="str">
        <v>INSTALACAO DE REDE ELETRICA (EXTERNO)</v>
      </c>
      <c r="D147" s="66" t="str">
        <f t="shared" si="2"/>
        <v>01.002.008.014-INSTALACAO DE REDE ELETRICA (EXTERNO)</v>
      </c>
    </row>
    <row r="148" spans="2:4" x14ac:dyDescent="0.25">
      <c r="B148" s="66" t="str">
        <v>01.002.008.015</v>
      </c>
      <c r="C148" s="66" t="str">
        <v>INSTALAÇÃO DE LUMINÁRIAS</v>
      </c>
      <c r="D148" s="66" t="str">
        <f t="shared" si="2"/>
        <v>01.002.008.015-INSTALAÇÃO DE LUMINÁRIAS</v>
      </c>
    </row>
    <row r="149" spans="2:4" x14ac:dyDescent="0.25">
      <c r="B149" s="66" t="str">
        <v>01.002.009.001</v>
      </c>
      <c r="C149" s="66" t="str">
        <v>ÁGUA FRIA</v>
      </c>
      <c r="D149" s="66" t="str">
        <f t="shared" si="2"/>
        <v>01.002.009.001-ÁGUA FRIA</v>
      </c>
    </row>
    <row r="150" spans="2:4" x14ac:dyDescent="0.25">
      <c r="B150" s="66" t="str">
        <v>01.002.009.002</v>
      </c>
      <c r="C150" s="66" t="str">
        <v>INSTALAÇÕES PROVISORIAS DE AGUA E ESGOTO</v>
      </c>
      <c r="D150" s="66" t="str">
        <f t="shared" si="2"/>
        <v>01.002.009.002-INSTALAÇÕES PROVISORIAS DE AGUA E ESGOTO</v>
      </c>
    </row>
    <row r="151" spans="2:4" x14ac:dyDescent="0.25">
      <c r="B151" s="66" t="str">
        <v>01.002.009.003</v>
      </c>
      <c r="C151" s="66" t="str">
        <v>SERVIÇO DE INSTALAÇÃO DE SHAFTS PLACA ROSA RF - MO</v>
      </c>
      <c r="D151" s="66" t="str">
        <f t="shared" si="2"/>
        <v>01.002.009.003-SERVIÇO DE INSTALAÇÃO DE SHAFTS PLACA ROSA RF - MO</v>
      </c>
    </row>
    <row r="152" spans="2:4" x14ac:dyDescent="0.25">
      <c r="B152" s="66" t="str">
        <v>01.002.009.004</v>
      </c>
      <c r="C152" s="66" t="str">
        <v>RASGO E RECUPERAÇÃO DE PISO PARA PASSAGEM DE INSTALAÇÕES</v>
      </c>
      <c r="D152" s="66" t="str">
        <f t="shared" si="2"/>
        <v>01.002.009.004-RASGO E RECUPERAÇÃO DE PISO PARA PASSAGEM DE INSTALAÇÕES</v>
      </c>
    </row>
    <row r="153" spans="2:4" x14ac:dyDescent="0.25">
      <c r="B153" s="66" t="str">
        <v>01.002.010.001</v>
      </c>
      <c r="C153" s="66" t="str">
        <v>ELEVADOR</v>
      </c>
      <c r="D153" s="66" t="str">
        <f t="shared" si="2"/>
        <v>01.002.010.001-ELEVADOR</v>
      </c>
    </row>
    <row r="154" spans="2:4" x14ac:dyDescent="0.25">
      <c r="B154" s="66" t="str">
        <v>01.002.010.002</v>
      </c>
      <c r="C154" s="66" t="str">
        <v>PAVIMENTOS EXTERNOS</v>
      </c>
      <c r="D154" s="66" t="str">
        <f t="shared" si="2"/>
        <v>01.002.010.002-PAVIMENTOS EXTERNOS</v>
      </c>
    </row>
    <row r="155" spans="2:4" x14ac:dyDescent="0.25">
      <c r="B155" s="66" t="str">
        <v>01.002.010.003</v>
      </c>
      <c r="C155" s="66" t="str">
        <v>EQUIPAMENTOS DE AR CONDICIONADO</v>
      </c>
      <c r="D155" s="66" t="str">
        <f t="shared" si="2"/>
        <v>01.002.010.003-EQUIPAMENTOS DE AR CONDICIONADO</v>
      </c>
    </row>
    <row r="156" spans="2:4" x14ac:dyDescent="0.25">
      <c r="B156" s="66" t="str">
        <v>01.002.010.004</v>
      </c>
      <c r="C156" s="66" t="str">
        <v>EXAUSTAO MECANICA</v>
      </c>
      <c r="D156" s="66" t="str">
        <f t="shared" si="2"/>
        <v>01.002.010.004-EXAUSTAO MECANICA</v>
      </c>
    </row>
    <row r="157" spans="2:4" x14ac:dyDescent="0.25">
      <c r="B157" s="66" t="str">
        <v>01.002.010.005</v>
      </c>
      <c r="C157" s="66" t="str">
        <v>PONTO DE SPK</v>
      </c>
      <c r="D157" s="66" t="str">
        <f t="shared" si="2"/>
        <v>01.002.010.005-PONTO DE SPK</v>
      </c>
    </row>
    <row r="158" spans="2:4" x14ac:dyDescent="0.25">
      <c r="B158" s="66" t="str">
        <v>01.002.010.006</v>
      </c>
      <c r="C158" s="66" t="str">
        <v>SERVIÇO DE EXECUÇÃO DE TUBULAÇÃO / CAIXA (HIDRANTE) INTERNA NO HALL INCÊNDIO</v>
      </c>
      <c r="D158" s="66" t="str">
        <f t="shared" si="2"/>
        <v>01.002.010.006-SERVIÇO DE EXECUÇÃO DE TUBULAÇÃO / CAIXA (HIDRANTE) INTERNA NO HALL INCÊNDIO</v>
      </c>
    </row>
    <row r="159" spans="2:4" x14ac:dyDescent="0.25">
      <c r="B159" s="66" t="str">
        <v>01.002.010.007</v>
      </c>
      <c r="C159" s="66" t="str">
        <v>INSTALAÇÕES MECÂNICAS DIVERSAS</v>
      </c>
      <c r="D159" s="66" t="str">
        <f t="shared" si="2"/>
        <v>01.002.010.007-INSTALAÇÕES MECÂNICAS DIVERSAS</v>
      </c>
    </row>
    <row r="160" spans="2:4" x14ac:dyDescent="0.25">
      <c r="B160" s="66" t="str">
        <v>01.002.010.008</v>
      </c>
      <c r="C160" s="66" t="str">
        <v>SERVIÇO DE EXECUÇÃO DE ARRIMO</v>
      </c>
      <c r="D160" s="66" t="str">
        <f t="shared" si="2"/>
        <v>01.002.010.008-SERVIÇO DE EXECUÇÃO DE ARRIMO</v>
      </c>
    </row>
    <row r="161" spans="2:4" x14ac:dyDescent="0.25">
      <c r="B161" s="66" t="str">
        <v>01.002.010.009</v>
      </c>
      <c r="C161" s="66" t="str">
        <v>ALVENARIA ESTRUTURAL</v>
      </c>
      <c r="D161" s="66" t="str">
        <f t="shared" si="2"/>
        <v>01.002.010.009-ALVENARIA ESTRUTURAL</v>
      </c>
    </row>
    <row r="162" spans="2:4" x14ac:dyDescent="0.25">
      <c r="B162" s="66" t="str">
        <v>01.002.010.010</v>
      </c>
      <c r="C162" s="66" t="str">
        <v>SERVIÇO DE EXECUÇÃO DE REBOCO</v>
      </c>
      <c r="D162" s="66" t="str">
        <f t="shared" si="2"/>
        <v>01.002.010.010-SERVIÇO DE EXECUÇÃO DE REBOCO</v>
      </c>
    </row>
    <row r="163" spans="2:4" x14ac:dyDescent="0.25">
      <c r="B163" s="66" t="str">
        <v>01.002.010.011</v>
      </c>
      <c r="C163" s="66" t="str">
        <v>SERVIÇO DE EXECUÇÃO DE LIMPEZA DAS CAIXAS DE PASSAGEM</v>
      </c>
      <c r="D163" s="66" t="str">
        <f t="shared" si="2"/>
        <v>01.002.010.011-SERVIÇO DE EXECUÇÃO DE LIMPEZA DAS CAIXAS DE PASSAGEM</v>
      </c>
    </row>
    <row r="164" spans="2:4" x14ac:dyDescent="0.25">
      <c r="B164" s="66" t="str">
        <v>01.002.010.012</v>
      </c>
      <c r="C164" s="66" t="str">
        <v>INSTALACAO ELETRICA</v>
      </c>
      <c r="D164" s="66" t="str">
        <f t="shared" si="2"/>
        <v>01.002.010.012-INSTALACAO ELETRICA</v>
      </c>
    </row>
    <row r="165" spans="2:4" x14ac:dyDescent="0.25">
      <c r="B165" s="66" t="str">
        <v>01.002.010.013</v>
      </c>
      <c r="C165" s="66" t="str">
        <v>CABO HOMOLOGADO [MARCA]</v>
      </c>
      <c r="D165" s="66" t="str">
        <f t="shared" si="2"/>
        <v>01.002.010.013-CABO HOMOLOGADO [MARCA]</v>
      </c>
    </row>
    <row r="166" spans="2:4" x14ac:dyDescent="0.25">
      <c r="B166" s="66" t="str">
        <v>01.002.010.014</v>
      </c>
      <c r="C166" s="66" t="str">
        <v>ILUMINAÇÃO - ÁREA COMUM</v>
      </c>
      <c r="D166" s="66" t="str">
        <f t="shared" si="2"/>
        <v>01.002.010.014-ILUMINAÇÃO - ÁREA COMUM</v>
      </c>
    </row>
    <row r="167" spans="2:4" x14ac:dyDescent="0.25">
      <c r="B167" s="66" t="str">
        <v>01.002.010.015</v>
      </c>
      <c r="C167" s="66" t="str">
        <v>PAINEL DE LED  (HOMOLOGADO)</v>
      </c>
      <c r="D167" s="66" t="str">
        <f t="shared" si="2"/>
        <v>01.002.010.015-PAINEL DE LED  (HOMOLOGADO)</v>
      </c>
    </row>
    <row r="168" spans="2:4" x14ac:dyDescent="0.25">
      <c r="B168" s="66" t="str">
        <v>01.002.011.001</v>
      </c>
      <c r="C168" s="66" t="str">
        <v>BACIA SANITÁRIA CONVENCIONAL (HOMOLOGADO)</v>
      </c>
      <c r="D168" s="66" t="str">
        <f t="shared" si="2"/>
        <v>01.002.011.001-BACIA SANITÁRIA CONVENCIONAL (HOMOLOGADO)</v>
      </c>
    </row>
    <row r="169" spans="2:4" x14ac:dyDescent="0.25">
      <c r="B169" s="66" t="str">
        <v>01.002.011.002</v>
      </c>
      <c r="C169" s="66" t="str">
        <v>TANQUE MARMORE SINTETICO</v>
      </c>
      <c r="D169" s="66" t="str">
        <f t="shared" si="2"/>
        <v>01.002.011.002-TANQUE MARMORE SINTETICO</v>
      </c>
    </row>
    <row r="170" spans="2:4" x14ac:dyDescent="0.25">
      <c r="B170" s="66" t="str">
        <v>01.002.011.003</v>
      </c>
      <c r="C170" s="66" t="str">
        <v>MICTÓRIO TOUCHLESS - KOHLER (CÓD. K-16321BR-SS-0) / MICTÓRIO RIMLESS ROCA (CÓD: A3590JF00B) OU SIMILAR</v>
      </c>
      <c r="D170" s="66" t="str">
        <f t="shared" si="2"/>
        <v>01.002.011.003-MICTÓRIO TOUCHLESS - KOHLER (CÓD. K-16321BR-SS-0) / MICTÓRIO RIMLESS ROCA (CÓD: A3590JF00B) OU SIMIL</v>
      </c>
    </row>
    <row r="171" spans="2:4" x14ac:dyDescent="0.25">
      <c r="B171" s="66" t="str">
        <v>01.002.011.004</v>
      </c>
      <c r="C171" s="66" t="str">
        <v>CUBA QUADRADA DE PISO. MEDIDAS: 42X90X44 - OFFICINA PORTOBELLO. ACABAMENTO: CORPO: TROPEZIENDE CENTRE E DETALHE NA LATERAL: ANIMA DI MARMO</v>
      </c>
      <c r="D171" s="66" t="str">
        <f t="shared" si="2"/>
        <v>01.002.011.004-CUBA QUADRADA DE PISO. MEDIDAS: 42X90X44 - OFFICINA PORTOBELLO. ACABAMENTO: CORPO: TROPEZIENDE CENTR</v>
      </c>
    </row>
    <row r="172" spans="2:4" x14ac:dyDescent="0.25">
      <c r="B172" s="66" t="str">
        <v>01.002.011.005</v>
      </c>
      <c r="C172" s="66" t="str">
        <v>LAVATÓRIO SUSPENSO BENEFIT COM COLUNA PCD. (CÓD. 12019585026 / CÓD. 12019584026)</v>
      </c>
      <c r="D172" s="66" t="str">
        <f t="shared" si="2"/>
        <v>01.002.011.005-LAVATÓRIO SUSPENSO BENEFIT COM COLUNA PCD. (CÓD. 12019585026 / CÓD. 12019584026)</v>
      </c>
    </row>
    <row r="173" spans="2:4" x14ac:dyDescent="0.25">
      <c r="B173" s="66" t="str">
        <v>01.002.011.006</v>
      </c>
      <c r="C173" s="66" t="str">
        <v>KIT BACIA COM CAIXA ACOPLADA VOGUE PLUS - DECA</v>
      </c>
      <c r="D173" s="66" t="str">
        <f t="shared" si="2"/>
        <v>01.002.011.006-KIT BACIA COM CAIXA ACOPLADA VOGUE PLUS - DECA</v>
      </c>
    </row>
    <row r="174" spans="2:4" x14ac:dyDescent="0.25">
      <c r="B174" s="66" t="str">
        <v>01.002.011.007</v>
      </c>
      <c r="C174" s="66" t="str">
        <v>ESPELHO</v>
      </c>
      <c r="D174" s="66" t="str">
        <f t="shared" si="2"/>
        <v>01.002.011.007-ESPELHO</v>
      </c>
    </row>
    <row r="175" spans="2:4" x14ac:dyDescent="0.25">
      <c r="B175" s="66" t="str">
        <v>01.002.011.008</v>
      </c>
      <c r="C175" s="66" t="str">
        <v>INSTALAÇÕES HIDRO-SANITÁRIAS: REGISTRO DE PRESSAO</v>
      </c>
      <c r="D175" s="66" t="str">
        <f t="shared" si="2"/>
        <v>01.002.011.008-INSTALAÇÕES HIDRO-SANITÁRIAS: REGISTRO DE PRESSAO</v>
      </c>
    </row>
    <row r="176" spans="2:4" x14ac:dyDescent="0.25">
      <c r="B176" s="66" t="str">
        <v>01.002.011.009</v>
      </c>
      <c r="C176" s="66" t="str">
        <v>INSTALAÇÕES HIDRO-SANITÁRIAS: REGISTROS - GAVETA</v>
      </c>
      <c r="D176" s="66" t="str">
        <f t="shared" si="2"/>
        <v>01.002.011.009-INSTALAÇÕES HIDRO-SANITÁRIAS: REGISTROS - GAVETA</v>
      </c>
    </row>
    <row r="177" spans="2:4" x14ac:dyDescent="0.25">
      <c r="B177" s="66" t="str">
        <v>01.002.011.010</v>
      </c>
      <c r="C177" s="66" t="str">
        <v>TORNEIRA DE MESA BICA BAIXA PARA LAVATÓRIO</v>
      </c>
      <c r="D177" s="66" t="str">
        <f t="shared" si="2"/>
        <v>01.002.011.010-TORNEIRA DE MESA BICA BAIXA PARA LAVATÓRIO</v>
      </c>
    </row>
    <row r="178" spans="2:4" x14ac:dyDescent="0.25">
      <c r="B178" s="66" t="str">
        <v>01.002.011.011</v>
      </c>
      <c r="C178" s="66" t="str">
        <v>TORNEIRA PARA TANQUE</v>
      </c>
      <c r="D178" s="66" t="str">
        <f t="shared" si="2"/>
        <v>01.002.011.011-TORNEIRA PARA TANQUE</v>
      </c>
    </row>
    <row r="179" spans="2:4" x14ac:dyDescent="0.25">
      <c r="B179" s="66" t="str">
        <v>01.002.011.012</v>
      </c>
      <c r="C179" s="66" t="str">
        <v>SERVIÇO DE HIGIENIZAÇÃO DE TOALHA BANHO</v>
      </c>
      <c r="D179" s="66" t="str">
        <f t="shared" si="2"/>
        <v>01.002.011.012-SERVIÇO DE HIGIENIZAÇÃO DE TOALHA BANHO</v>
      </c>
    </row>
    <row r="180" spans="2:4" x14ac:dyDescent="0.25">
      <c r="B180" s="66" t="str">
        <v>01.002.011.013</v>
      </c>
      <c r="C180" s="66" t="str">
        <v>BARRA DE APOIO 450 MM ACESSO CE - B5001CXR0</v>
      </c>
      <c r="D180" s="66" t="str">
        <f t="shared" si="2"/>
        <v>01.002.011.013-BARRA DE APOIO 450 MM ACESSO CE - B5001CXR0</v>
      </c>
    </row>
    <row r="181" spans="2:4" x14ac:dyDescent="0.25">
      <c r="B181" s="66" t="str">
        <v>01.002.011.014</v>
      </c>
      <c r="C181" s="66" t="str">
        <v>TORNEIRA DE MESA BICA BAIXA PARA LAVATÓRIO</v>
      </c>
      <c r="D181" s="66" t="str">
        <f t="shared" si="2"/>
        <v>01.002.011.014-TORNEIRA DE MESA BICA BAIXA PARA LAVATÓRIO</v>
      </c>
    </row>
    <row r="182" spans="2:4" x14ac:dyDescent="0.25">
      <c r="B182" s="66" t="str">
        <v>01.002.011.015</v>
      </c>
      <c r="C182" s="66" t="str">
        <v>SERVIÇO DE EXECUÇÃO DE LIMPEZA DE PAREDE COM ESCOVAÇÃO</v>
      </c>
      <c r="D182" s="66" t="str">
        <f t="shared" si="2"/>
        <v>01.002.011.015-SERVIÇO DE EXECUÇÃO DE LIMPEZA DE PAREDE COM ESCOVAÇÃO</v>
      </c>
    </row>
    <row r="183" spans="2:4" x14ac:dyDescent="0.25">
      <c r="B183" s="66" t="str">
        <v>01.002.011.016</v>
      </c>
      <c r="C183" s="66" t="str">
        <v>INSTALAÇÕES HIDRO-SANITÁRIAS: VÁLVULA LAVATÓRIO</v>
      </c>
      <c r="D183" s="66" t="str">
        <f t="shared" si="2"/>
        <v>01.002.011.016-INSTALAÇÕES HIDRO-SANITÁRIAS: VÁLVULA LAVATÓRIO</v>
      </c>
    </row>
    <row r="184" spans="2:4" x14ac:dyDescent="0.25">
      <c r="B184" s="66" t="str">
        <v>01.002.011.017</v>
      </c>
      <c r="C184" s="66" t="str">
        <v>BARRA DE APOIO 450 MM ACESSO CE - B5001CXR0</v>
      </c>
      <c r="D184" s="66" t="str">
        <f t="shared" si="2"/>
        <v>01.002.011.017-BARRA DE APOIO 450 MM ACESSO CE - B5001CXR0</v>
      </c>
    </row>
    <row r="185" spans="2:4" x14ac:dyDescent="0.25">
      <c r="B185" s="66" t="str">
        <v>01.002.011.018</v>
      </c>
      <c r="C185" s="66" t="str">
        <v>BARRA DE APOIO 800 MM ACESSO - B5003CXR0</v>
      </c>
      <c r="D185" s="66" t="str">
        <f t="shared" si="2"/>
        <v>01.002.011.018-BARRA DE APOIO 800 MM ACESSO - B5003CXR0</v>
      </c>
    </row>
    <row r="186" spans="2:4" x14ac:dyDescent="0.25">
      <c r="B186" s="66" t="str">
        <v>01.002.011.019</v>
      </c>
      <c r="C186" s="66" t="str">
        <v>LOCAÇÃO DE MISTURADOR DE EIXO HORIZONTAL POR BATELADA</v>
      </c>
      <c r="D186" s="66" t="str">
        <f t="shared" si="2"/>
        <v>01.002.011.019-LOCAÇÃO DE MISTURADOR DE EIXO HORIZONTAL POR BATELADA</v>
      </c>
    </row>
    <row r="187" spans="2:4" x14ac:dyDescent="0.25">
      <c r="B187" s="66" t="str">
        <v>01.002.011.020</v>
      </c>
      <c r="C187" s="66" t="str">
        <v>BANCADA EM GRANITO BRANCO DALLAS</v>
      </c>
      <c r="D187" s="66" t="str">
        <f t="shared" si="2"/>
        <v>01.002.011.020-BANCADA EM GRANITO BRANCO DALLAS</v>
      </c>
    </row>
    <row r="188" spans="2:4" x14ac:dyDescent="0.25">
      <c r="B188" s="66" t="str">
        <v>01.002.011.021</v>
      </c>
      <c r="C188" s="66" t="str">
        <v>BANCADA BRANCO SIENA 1,40X0,60</v>
      </c>
      <c r="D188" s="66" t="str">
        <f t="shared" si="2"/>
        <v>01.002.011.021-BANCADA BRANCO SIENA 1,40X0,60</v>
      </c>
    </row>
    <row r="189" spans="2:4" x14ac:dyDescent="0.25">
      <c r="B189" s="66" t="str">
        <v>01.002.011.022</v>
      </c>
      <c r="C189" s="66" t="str">
        <v>ASSENTAMENTO DE BANCADAS</v>
      </c>
      <c r="D189" s="66" t="str">
        <f t="shared" si="2"/>
        <v>01.002.011.022-ASSENTAMENTO DE BANCADAS</v>
      </c>
    </row>
    <row r="190" spans="2:4" x14ac:dyDescent="0.25">
      <c r="B190" s="66" t="str">
        <v>01.002.011.023</v>
      </c>
      <c r="C190" s="66" t="str">
        <v>PROTEÇÃO PARA BANCADAS</v>
      </c>
      <c r="D190" s="66" t="str">
        <f t="shared" si="2"/>
        <v>01.002.011.023-PROTEÇÃO PARA BANCADAS</v>
      </c>
    </row>
    <row r="191" spans="2:4" x14ac:dyDescent="0.25">
      <c r="B191" s="66" t="str">
        <v>01.002.011.024</v>
      </c>
      <c r="C191" s="66" t="str">
        <v>COLAGEM DE CUBA DE LOUÇA OU INOX</v>
      </c>
      <c r="D191" s="66" t="str">
        <f t="shared" si="2"/>
        <v>01.002.011.024-COLAGEM DE CUBA DE LOUÇA OU INOX</v>
      </c>
    </row>
    <row r="192" spans="2:4" x14ac:dyDescent="0.25">
      <c r="B192" s="66" t="str">
        <v>01.002.011.025</v>
      </c>
      <c r="C192" s="66" t="str">
        <v>FURAÇÃO / CALAFETAÇÃO DE FUROS HIDRAULICOS</v>
      </c>
      <c r="D192" s="66" t="str">
        <f t="shared" si="2"/>
        <v>01.002.011.025-FURAÇÃO / CALAFETAÇÃO DE FUROS HIDRAULICOS</v>
      </c>
    </row>
    <row r="193" spans="2:4" x14ac:dyDescent="0.25">
      <c r="B193" s="66" t="str">
        <v>01.002.011.026</v>
      </c>
      <c r="C193" s="66" t="str">
        <v>DIVISORIAS SANITARIAS</v>
      </c>
      <c r="D193" s="66" t="str">
        <f t="shared" si="2"/>
        <v>01.002.011.026-DIVISORIAS SANITARIAS</v>
      </c>
    </row>
    <row r="194" spans="2:4" x14ac:dyDescent="0.25">
      <c r="B194" s="66" t="str">
        <v>01.002.012.001</v>
      </c>
      <c r="C194" s="66" t="str">
        <v>PREPARO DE SUPERFÍCIE</v>
      </c>
      <c r="D194" s="66" t="str">
        <f t="shared" si="2"/>
        <v>01.002.012.001-PREPARO DE SUPERFÍCIE</v>
      </c>
    </row>
    <row r="195" spans="2:4" x14ac:dyDescent="0.25">
      <c r="B195" s="66" t="str">
        <v>01.002.012.002</v>
      </c>
      <c r="C195" s="66" t="str">
        <v>REGULARIZAÇÃO PARA IMPERMEABILIZAÇÃO</v>
      </c>
      <c r="D195" s="66" t="str">
        <f t="shared" si="2"/>
        <v>01.002.012.002-REGULARIZAÇÃO PARA IMPERMEABILIZAÇÃO</v>
      </c>
    </row>
    <row r="196" spans="2:4" x14ac:dyDescent="0.25">
      <c r="B196" s="66" t="str">
        <v>01.002.012.003</v>
      </c>
      <c r="C196" s="66" t="str">
        <v>PROTEÇÃO MECÂNICA DE IMPERMEABILIZAÇÃO</v>
      </c>
      <c r="D196" s="66" t="str">
        <f t="shared" ref="D196:D245" si="3">_xlfn.CONCAT(B196,"-",LEFT(C196,100))</f>
        <v>01.002.012.003-PROTEÇÃO MECÂNICA DE IMPERMEABILIZAÇÃO</v>
      </c>
    </row>
    <row r="197" spans="2:4" x14ac:dyDescent="0.25">
      <c r="B197" s="66" t="str">
        <v>01.002.012.004</v>
      </c>
      <c r="C197" s="66" t="str">
        <v>PREPARO DE SUPERFÍCIE</v>
      </c>
      <c r="D197" s="66" t="str">
        <f t="shared" si="3"/>
        <v>01.002.012.004-PREPARO DE SUPERFÍCIE</v>
      </c>
    </row>
    <row r="198" spans="2:4" x14ac:dyDescent="0.25">
      <c r="B198" s="66" t="str">
        <v>01.002.012.005</v>
      </c>
      <c r="C198" s="66" t="str">
        <v>MANTA ASFÁLTICA 4 MM TIPO III B PP ADERIDA COM MAÇARICO</v>
      </c>
      <c r="D198" s="66" t="str">
        <f t="shared" si="3"/>
        <v>01.002.012.005-MANTA ASFÁLTICA 4 MM TIPO III B PP ADERIDA COM MAÇARICO</v>
      </c>
    </row>
    <row r="199" spans="2:4" x14ac:dyDescent="0.25">
      <c r="B199" s="66" t="str">
        <v>01.002.012.006</v>
      </c>
      <c r="C199" s="66" t="str">
        <v>ARGAMASSA POLIMÉRICA (3,0 KG/M²)</v>
      </c>
      <c r="D199" s="66" t="str">
        <f t="shared" si="3"/>
        <v>01.002.012.006-ARGAMASSA POLIMÉRICA (3,0 KG/M²)</v>
      </c>
    </row>
    <row r="200" spans="2:4" x14ac:dyDescent="0.25">
      <c r="B200" s="66" t="str">
        <v>01.002.012.007</v>
      </c>
      <c r="C200" s="66" t="str">
        <v>IMPERMEABILIZAÇÃO DE BALDRAME</v>
      </c>
      <c r="D200" s="66" t="str">
        <f t="shared" si="3"/>
        <v>01.002.012.007-IMPERMEABILIZAÇÃO DE BALDRAME</v>
      </c>
    </row>
    <row r="201" spans="2:4" x14ac:dyDescent="0.25">
      <c r="B201" s="66" t="str">
        <v>01.002.013.001</v>
      </c>
      <c r="C201" s="66" t="str">
        <v>TALISCA DE PAREDE INTERNA</v>
      </c>
      <c r="D201" s="66" t="str">
        <f t="shared" si="3"/>
        <v>01.002.013.001-TALISCA DE PAREDE INTERNA</v>
      </c>
    </row>
    <row r="202" spans="2:4" x14ac:dyDescent="0.25">
      <c r="B202" s="66" t="str">
        <v>01.002.013.002</v>
      </c>
      <c r="C202" s="66" t="str">
        <v>CHAPISCO INTERNO</v>
      </c>
      <c r="D202" s="66" t="str">
        <f t="shared" si="3"/>
        <v>01.002.013.002-CHAPISCO INTERNO</v>
      </c>
    </row>
    <row r="203" spans="2:4" x14ac:dyDescent="0.25">
      <c r="B203" s="66" t="str">
        <v>01.002.013.003</v>
      </c>
      <c r="C203" s="66" t="str">
        <v>REBOCO PAULISTA EM PAREDES - TIPO</v>
      </c>
      <c r="D203" s="66" t="str">
        <f t="shared" si="3"/>
        <v>01.002.013.003-REBOCO PAULISTA EM PAREDES - TIPO</v>
      </c>
    </row>
    <row r="204" spans="2:4" x14ac:dyDescent="0.25">
      <c r="B204" s="66" t="str">
        <v>01.002.013.004</v>
      </c>
      <c r="C204" s="66" t="str">
        <v>SERVIÇO DE REJUNTAMENTO DE REVESTIMENTO CERÂMICO DE PAREDES</v>
      </c>
      <c r="D204" s="66" t="str">
        <f t="shared" si="3"/>
        <v>01.002.013.004-SERVIÇO DE REJUNTAMENTO DE REVESTIMENTO CERÂMICO DE PAREDES</v>
      </c>
    </row>
    <row r="205" spans="2:4" x14ac:dyDescent="0.25">
      <c r="B205" s="66" t="str">
        <v>01.002.014.001</v>
      </c>
      <c r="C205" s="66" t="str">
        <v>TALISCA DE PAREDE EXTERNA</v>
      </c>
      <c r="D205" s="66" t="str">
        <f t="shared" si="3"/>
        <v>01.002.014.001-TALISCA DE PAREDE EXTERNA</v>
      </c>
    </row>
    <row r="206" spans="2:4" x14ac:dyDescent="0.25">
      <c r="B206" s="66" t="str">
        <v>01.002.014.002</v>
      </c>
      <c r="C206" s="66" t="str">
        <v>CHAPISCO EXTERNO</v>
      </c>
      <c r="D206" s="66" t="str">
        <f t="shared" si="3"/>
        <v>01.002.014.002-CHAPISCO EXTERNO</v>
      </c>
    </row>
    <row r="207" spans="2:4" x14ac:dyDescent="0.25">
      <c r="B207" s="66" t="str">
        <v>01.002.014.003</v>
      </c>
      <c r="C207" s="66" t="str">
        <v>REBOCO EXTERNO 4CM</v>
      </c>
      <c r="D207" s="66" t="str">
        <f t="shared" si="3"/>
        <v>01.002.014.003-REBOCO EXTERNO 4CM</v>
      </c>
    </row>
    <row r="208" spans="2:4" x14ac:dyDescent="0.25">
      <c r="B208" s="66" t="str">
        <v>01.002.014.004</v>
      </c>
      <c r="C208" s="66" t="str">
        <v>FRISO REBAIXADO 2X1,5CM HORIZONTAL</v>
      </c>
      <c r="D208" s="66" t="str">
        <f t="shared" si="3"/>
        <v>01.002.014.004-FRISO REBAIXADO 2X1,5CM HORIZONTAL</v>
      </c>
    </row>
    <row r="209" spans="2:4" x14ac:dyDescent="0.25">
      <c r="B209" s="66" t="str">
        <v>01.002.014.005</v>
      </c>
      <c r="C209" s="66" t="str">
        <v>PEITORIL EM GRANITO</v>
      </c>
      <c r="D209" s="66" t="str">
        <f t="shared" si="3"/>
        <v>01.002.014.005-PEITORIL EM GRANITO</v>
      </c>
    </row>
    <row r="210" spans="2:4" x14ac:dyDescent="0.25">
      <c r="B210" s="66" t="str">
        <v>01.002.015.001</v>
      </c>
      <c r="C210" s="66" t="str">
        <v>SERVIÇO DE EXECUÇÃO DE FORRO DE GESSO ACARTONADO - ALVENARIA</v>
      </c>
      <c r="D210" s="66" t="str">
        <f t="shared" si="3"/>
        <v>01.002.015.001-SERVIÇO DE EXECUÇÃO DE FORRO DE GESSO ACARTONADO - ALVENARIA</v>
      </c>
    </row>
    <row r="211" spans="2:4" x14ac:dyDescent="0.25">
      <c r="B211" s="66" t="str">
        <v>01.002.015.002</v>
      </c>
      <c r="C211" s="66" t="str">
        <v>TABICA DE GESSO 5CM</v>
      </c>
      <c r="D211" s="66" t="str">
        <f t="shared" si="3"/>
        <v>01.002.015.002-TABICA DE GESSO 5CM</v>
      </c>
    </row>
    <row r="212" spans="2:4" x14ac:dyDescent="0.25">
      <c r="B212" s="66" t="str">
        <v>01.002.015.003</v>
      </c>
      <c r="C212" s="66" t="str">
        <v>SERVIÇO DE FECHAMENTO DE GESSO</v>
      </c>
      <c r="D212" s="66" t="str">
        <f t="shared" si="3"/>
        <v>01.002.015.003-SERVIÇO DE FECHAMENTO DE GESSO</v>
      </c>
    </row>
    <row r="213" spans="2:4" x14ac:dyDescent="0.25">
      <c r="B213" s="66" t="str">
        <v>01.002.015.004</v>
      </c>
      <c r="C213" s="66" t="str">
        <v>SERVIÇO DE EXECUÇÃO DE IDENTIFICAÇÃO DAS CAIXAS</v>
      </c>
      <c r="D213" s="66" t="str">
        <f t="shared" si="3"/>
        <v>01.002.015.004-SERVIÇO DE EXECUÇÃO DE IDENTIFICAÇÃO DAS CAIXAS</v>
      </c>
    </row>
    <row r="214" spans="2:4" x14ac:dyDescent="0.25">
      <c r="B214" s="66" t="str">
        <v>01.002.015.005</v>
      </c>
      <c r="C214" s="66" t="str">
        <v>SANCA ILUMINADA</v>
      </c>
      <c r="D214" s="66" t="str">
        <f t="shared" si="3"/>
        <v>01.002.015.005-SANCA ILUMINADA</v>
      </c>
    </row>
    <row r="215" spans="2:4" x14ac:dyDescent="0.25">
      <c r="B215" s="66" t="str">
        <v>01.002.015.006</v>
      </c>
      <c r="C215" s="66" t="str">
        <v>EXECUÇÃO DE BASE DE SOLO</v>
      </c>
      <c r="D215" s="66" t="str">
        <f t="shared" si="3"/>
        <v>01.002.015.006-EXECUÇÃO DE BASE DE SOLO</v>
      </c>
    </row>
    <row r="216" spans="2:4" x14ac:dyDescent="0.25">
      <c r="B216" s="66" t="str">
        <v>01.002.015.007</v>
      </c>
      <c r="C216" s="66" t="str">
        <v>FORRO EM PLACAS DE GESSO</v>
      </c>
      <c r="D216" s="66" t="str">
        <f t="shared" si="3"/>
        <v>01.002.015.007-FORRO EM PLACAS DE GESSO</v>
      </c>
    </row>
    <row r="217" spans="2:4" x14ac:dyDescent="0.25">
      <c r="B217" s="66" t="str">
        <v>01.002.015.008</v>
      </c>
      <c r="C217" s="66" t="str">
        <v>RESERVIÇO DE EXECUÇÃO DE TELHADO</v>
      </c>
      <c r="D217" s="66" t="str">
        <f t="shared" si="3"/>
        <v>01.002.015.008-RESERVIÇO DE EXECUÇÃO DE TELHADO</v>
      </c>
    </row>
    <row r="218" spans="2:4" x14ac:dyDescent="0.25">
      <c r="B218" s="66" t="str">
        <v>01.002.015.009</v>
      </c>
      <c r="C218" s="66" t="str">
        <v>TELHA</v>
      </c>
      <c r="D218" s="66" t="str">
        <f t="shared" si="3"/>
        <v>01.002.015.009-TELHA</v>
      </c>
    </row>
    <row r="219" spans="2:4" x14ac:dyDescent="0.25">
      <c r="B219" s="66" t="str">
        <v>01.002.015.010</v>
      </c>
      <c r="C219" s="66" t="str">
        <v>RUFOS / CALHAS</v>
      </c>
      <c r="D219" s="66" t="str">
        <f t="shared" si="3"/>
        <v>01.002.015.010-RUFOS / CALHAS</v>
      </c>
    </row>
    <row r="220" spans="2:4" x14ac:dyDescent="0.25">
      <c r="B220" s="66" t="str">
        <v>01.002.015.011</v>
      </c>
      <c r="C220" s="66" t="str">
        <v>COBERTURAS</v>
      </c>
      <c r="D220" s="66" t="str">
        <f t="shared" si="3"/>
        <v>01.002.015.011-COBERTURAS</v>
      </c>
    </row>
    <row r="221" spans="2:4" x14ac:dyDescent="0.25">
      <c r="B221" s="66" t="str">
        <v>01.002.015.012</v>
      </c>
      <c r="C221" s="66" t="str">
        <v>FORRO DE TETO - ED. USO COMUM</v>
      </c>
      <c r="D221" s="66" t="str">
        <f t="shared" si="3"/>
        <v>01.002.015.012-FORRO DE TETO - ED. USO COMUM</v>
      </c>
    </row>
    <row r="222" spans="2:4" x14ac:dyDescent="0.25">
      <c r="B222" s="66" t="str">
        <v>01.002.016.001</v>
      </c>
      <c r="C222" s="66" t="str">
        <v>SERVICO DE TRALISCAMENTO DE CONTRAPISO</v>
      </c>
      <c r="D222" s="66" t="str">
        <f t="shared" si="3"/>
        <v>01.002.016.001-SERVICO DE TRALISCAMENTO DE CONTRAPISO</v>
      </c>
    </row>
    <row r="223" spans="2:4" x14ac:dyDescent="0.25">
      <c r="B223" s="66" t="str">
        <v>01.002.016.002</v>
      </c>
      <c r="C223" s="66" t="str">
        <v>CONTRAPISO - LAJE SUBPRESSÃO</v>
      </c>
      <c r="D223" s="66" t="str">
        <f t="shared" si="3"/>
        <v>01.002.016.002-CONTRAPISO - LAJE SUBPRESSÃO</v>
      </c>
    </row>
    <row r="224" spans="2:4" x14ac:dyDescent="0.25">
      <c r="B224" s="66" t="str">
        <v>01.002.016.003</v>
      </c>
      <c r="C224" s="66" t="str">
        <v>PINTURA EPÓXI DE PISO</v>
      </c>
      <c r="D224" s="66" t="str">
        <f t="shared" si="3"/>
        <v>01.002.016.003-PINTURA EPÓXI DE PISO</v>
      </c>
    </row>
    <row r="225" spans="2:4" x14ac:dyDescent="0.25">
      <c r="B225" s="66" t="str">
        <v>01.002.016.004</v>
      </c>
      <c r="C225" s="66" t="str">
        <v>PINTURA EPÓXI DE PISO</v>
      </c>
      <c r="D225" s="66" t="str">
        <f t="shared" si="3"/>
        <v>01.002.016.004-PINTURA EPÓXI DE PISO</v>
      </c>
    </row>
    <row r="226" spans="2:4" x14ac:dyDescent="0.25">
      <c r="B226" s="66" t="str">
        <v>01.002.016.005</v>
      </c>
      <c r="C226" s="66" t="str">
        <v>PINTURA EPÓXI DE PISO</v>
      </c>
      <c r="D226" s="66" t="str">
        <f t="shared" si="3"/>
        <v>01.002.016.005-PINTURA EPÓXI DE PISO</v>
      </c>
    </row>
    <row r="227" spans="2:4" x14ac:dyDescent="0.25">
      <c r="B227" s="66" t="str">
        <v>01.002.016.006</v>
      </c>
      <c r="C227" s="66" t="str">
        <v>PINTURA EPÓXI DE PISO</v>
      </c>
      <c r="D227" s="66" t="str">
        <f t="shared" si="3"/>
        <v>01.002.016.006-PINTURA EPÓXI DE PISO</v>
      </c>
    </row>
    <row r="228" spans="2:4" x14ac:dyDescent="0.25">
      <c r="B228" s="66" t="str">
        <v>01.002.016.007</v>
      </c>
      <c r="C228" s="66" t="str">
        <v>QUARTZO BRANCO</v>
      </c>
      <c r="D228" s="66" t="str">
        <f t="shared" si="3"/>
        <v>01.002.016.007-QUARTZO BRANCO</v>
      </c>
    </row>
    <row r="229" spans="2:4" x14ac:dyDescent="0.25">
      <c r="B229" s="66" t="str">
        <v>01.002.016.008</v>
      </c>
      <c r="C229" s="66" t="str">
        <v>PORCELANATO PORTOBELLO PIETRA DI FIRENZE GRIGIO NAT. RET. 60X60CM - CÓD.:22852E {P2}</v>
      </c>
      <c r="D229" s="66" t="str">
        <f t="shared" si="3"/>
        <v>01.002.016.008-PORCELANATO PORTOBELLO PIETRA DI FIRENZE GRIGIO NAT. RET. 60X60CM - CÓD.:22852E {P2}</v>
      </c>
    </row>
    <row r="230" spans="2:4" x14ac:dyDescent="0.25">
      <c r="B230" s="66" t="str">
        <v>01.002.016.009</v>
      </c>
      <c r="C230" s="66" t="str">
        <v>PAVER</v>
      </c>
      <c r="D230" s="66" t="str">
        <f t="shared" si="3"/>
        <v>01.002.016.009-PAVER</v>
      </c>
    </row>
    <row r="231" spans="2:4" x14ac:dyDescent="0.25">
      <c r="B231" s="66" t="str">
        <v>01.002.016.010</v>
      </c>
      <c r="C231" s="66" t="str">
        <v>SOLEIRAS</v>
      </c>
      <c r="D231" s="66" t="str">
        <f t="shared" si="3"/>
        <v>01.002.016.010-SOLEIRAS</v>
      </c>
    </row>
    <row r="232" spans="2:4" x14ac:dyDescent="0.25">
      <c r="B232" s="66" t="str">
        <v>01.002.016.011</v>
      </c>
      <c r="C232" s="66" t="str">
        <v>ENCHIMENTO DE PISO</v>
      </c>
      <c r="D232" s="66" t="str">
        <f t="shared" si="3"/>
        <v>01.002.016.011-ENCHIMENTO DE PISO</v>
      </c>
    </row>
    <row r="233" spans="2:4" x14ac:dyDescent="0.25">
      <c r="B233" s="66" t="str">
        <v>01.002.016.012</v>
      </c>
      <c r="C233" s="66" t="str">
        <v>PINTURA SOBRE PISO</v>
      </c>
      <c r="D233" s="66" t="str">
        <f t="shared" si="3"/>
        <v>01.002.016.012-PINTURA SOBRE PISO</v>
      </c>
    </row>
    <row r="234" spans="2:4" x14ac:dyDescent="0.25">
      <c r="B234" s="66" t="str">
        <v>01.002.016.013</v>
      </c>
      <c r="C234" s="66" t="str">
        <v>REGULARIZAÇÃO DA ESCADA</v>
      </c>
      <c r="D234" s="66" t="str">
        <f t="shared" si="3"/>
        <v>01.002.016.013-REGULARIZAÇÃO DA ESCADA</v>
      </c>
    </row>
    <row r="235" spans="2:4" x14ac:dyDescent="0.25">
      <c r="B235" s="66" t="str">
        <v>01.002.016.014</v>
      </c>
      <c r="C235" s="66" t="str">
        <v>SOLEIRA EM GRANITO CINZA ANDORINHA, L=18 CM</v>
      </c>
      <c r="D235" s="66" t="str">
        <f t="shared" si="3"/>
        <v>01.002.016.014-SOLEIRA EM GRANITO CINZA ANDORINHA, L=18 CM</v>
      </c>
    </row>
    <row r="236" spans="2:4" x14ac:dyDescent="0.25">
      <c r="B236" s="66" t="str">
        <v>01.002.016.015</v>
      </c>
      <c r="C236" s="66" t="str">
        <v>SOLEIRA EM GRANITO</v>
      </c>
      <c r="D236" s="66" t="str">
        <f t="shared" si="3"/>
        <v>01.002.016.015-SOLEIRA EM GRANITO</v>
      </c>
    </row>
    <row r="237" spans="2:4" x14ac:dyDescent="0.25">
      <c r="B237" s="66" t="str">
        <v>01.002.016.016</v>
      </c>
      <c r="C237" s="66" t="str">
        <v>COLA TACKFIX 3,50KGS REF. 9334014 (HOMOLOGADO)</v>
      </c>
      <c r="D237" s="66" t="str">
        <f t="shared" si="3"/>
        <v>01.002.016.016-COLA TACKFIX 3,50KGS REF. 9334014 (HOMOLOGADO)</v>
      </c>
    </row>
    <row r="238" spans="2:4" x14ac:dyDescent="0.25">
      <c r="B238" s="66" t="str">
        <v>01.002.016.017</v>
      </c>
      <c r="C238" s="66" t="str">
        <v>RODAPÉ DE POLIESTIRENO FORT CORPORATIVO SL 101 RP/B H=10CM LISO - BRANCO (HOMOLOGADO)</v>
      </c>
      <c r="D238" s="66" t="str">
        <f t="shared" si="3"/>
        <v>01.002.016.017-RODAPÉ DE POLIESTIRENO FORT CORPORATIVO SL 101 RP/B H=10CM LISO - BRANCO (HOMOLOGADO)</v>
      </c>
    </row>
    <row r="239" spans="2:4" x14ac:dyDescent="0.25">
      <c r="B239" s="66" t="str">
        <v>01.002.016.018</v>
      </c>
      <c r="C239" s="66" t="str">
        <v>COLA RPD - ROD POLIESTIRENO - GALAO 5KG (HOMOLOGADO)</v>
      </c>
      <c r="D239" s="66" t="str">
        <f t="shared" si="3"/>
        <v>01.002.016.018-COLA RPD - ROD POLIESTIRENO - GALAO 5KG (HOMOLOGADO)</v>
      </c>
    </row>
    <row r="240" spans="2:4" x14ac:dyDescent="0.25">
      <c r="B240" s="66" t="str">
        <v>01.002.016.019</v>
      </c>
      <c r="C240" s="66" t="str">
        <v>TAPETE [MARCA] CUT PILE 100 4,18X4,92M (ORGÂNICO)  (HOMOLOGADO)</v>
      </c>
      <c r="D240" s="66" t="str">
        <f t="shared" si="3"/>
        <v>01.002.016.019-TAPETE [MARCA] CUT PILE 100 4,18X4,92M (ORGÂNICO)  (HOMOLOGADO)</v>
      </c>
    </row>
    <row r="241" spans="2:4" x14ac:dyDescent="0.25">
      <c r="B241" s="66" t="str">
        <v>01.002.016.020</v>
      </c>
      <c r="C241" s="66" t="str">
        <v>BOTTEGA WHITE L 120X120(A) (HOMOLOGADO)</v>
      </c>
      <c r="D241" s="66" t="str">
        <f t="shared" si="3"/>
        <v>01.002.016.020-BOTTEGA WHITE L 120X120(A) (HOMOLOGADO)</v>
      </c>
    </row>
    <row r="242" spans="2:4" x14ac:dyDescent="0.25">
      <c r="B242" s="66" t="str">
        <v>01.002.016.021</v>
      </c>
      <c r="C242" s="66" t="str">
        <v>BOTTEGA ACERO L 120X120(A) (HOMOLOGADO)</v>
      </c>
      <c r="D242" s="66" t="str">
        <f t="shared" si="3"/>
        <v>01.002.016.021-BOTTEGA ACERO L 120X120(A) (HOMOLOGADO)</v>
      </c>
    </row>
    <row r="243" spans="2:4" x14ac:dyDescent="0.25">
      <c r="B243" s="66" t="str">
        <v>01.002.016.022</v>
      </c>
      <c r="C243" s="66" t="str">
        <v>BOTTEGA TOPO L 120X120(A) (HOMOLOGADO)</v>
      </c>
      <c r="D243" s="66" t="str">
        <f t="shared" si="3"/>
        <v>01.002.016.022-BOTTEGA TOPO L 120X120(A) (HOMOLOGADO)</v>
      </c>
    </row>
    <row r="244" spans="2:4" x14ac:dyDescent="0.25">
      <c r="B244" s="66" t="str">
        <v>01.002.016.023</v>
      </c>
      <c r="C244" s="66" t="str">
        <v>SMART TANZANIA ALMOND 22X90(A) (HOMOLOGADO)</v>
      </c>
      <c r="D244" s="66" t="str">
        <f t="shared" si="3"/>
        <v>01.002.016.023-SMART TANZANIA ALMOND 22X90(A) (HOMOLOGADO)</v>
      </c>
    </row>
    <row r="245" spans="2:4" x14ac:dyDescent="0.25">
      <c r="B245" s="66" t="str">
        <v>01.002.016.024</v>
      </c>
      <c r="C245" s="66" t="str">
        <v>CONCRETO USINADO 25MPA SLUMP12+-2</v>
      </c>
      <c r="D245" s="66" t="str">
        <f t="shared" si="3"/>
        <v>01.002.016.024-CONCRETO USINADO 25MPA SLUMP12+-2</v>
      </c>
    </row>
    <row r="246" spans="2:4" x14ac:dyDescent="0.25">
      <c r="B246" t="str">
        <v>01.002.016.025</v>
      </c>
      <c r="C246" t="str">
        <v>ARGAMASSA COLORIDA PARA SELAR JUNTAS ATÉ 4 MM COR BRANCA COLORSTUK 0-4 BLANCO (HOMOLOGADO)</v>
      </c>
    </row>
    <row r="247" spans="2:4" x14ac:dyDescent="0.25">
      <c r="B247" t="str">
        <v>01.002.016.026</v>
      </c>
      <c r="C247" t="str">
        <v>ARGAMASSA COLORIDA PARA SELAR JUNTAS ATÉ 4 MM COR MANHATTAN - COLORSTUK 0-4 MANHATTAN N 5 KG (HOMOLOGADO)</v>
      </c>
    </row>
    <row r="248" spans="2:4" x14ac:dyDescent="0.25">
      <c r="B248" t="str">
        <v>01.002.016.027</v>
      </c>
      <c r="C248" t="str">
        <v>ARGAMASSA COLORIDA PARA SELAR JUNTAS ATÉ 4 MM COR MOKA - COLORSTUK 0-4 MOKA N 5 KG (HOMOLOGADO)</v>
      </c>
    </row>
    <row r="249" spans="2:4" x14ac:dyDescent="0.25">
      <c r="B249" t="str">
        <v>01.002.016.028</v>
      </c>
      <c r="C249" t="str">
        <v>CRUZETAS AUTONIVELANTES 2MM (1 BOLSA CONTEM 500 CRUZETAS) (HOMOLOGADO)</v>
      </c>
    </row>
    <row r="250" spans="2:4" x14ac:dyDescent="0.25">
      <c r="B250" t="str">
        <v>01.002.016.029</v>
      </c>
      <c r="C250" t="str">
        <v>CUNHA PARA NIVELAR OS REVESTIMENTOS CERAMICOS (1 BOLSA CONTEM 500 CUNHAS) (HOMOLOGADO)</v>
      </c>
    </row>
    <row r="251" spans="2:4" x14ac:dyDescent="0.25">
      <c r="B251" t="str">
        <v>01.002.016.030</v>
      </c>
      <c r="C251" t="str">
        <v>FERRAMENTA MANUAL PARA AJUSTE ENTRE CUNHA E CRUZETA PARA NIVELAMENTO DE REVESTIMENTOS CERAMICOS (HOMOLOGADO)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outlinePr summaryBelow="0" summaryRight="0"/>
  </sheetPr>
  <dimension ref="B2:L332"/>
  <sheetViews>
    <sheetView showGridLines="0" zoomScaleNormal="100" workbookViewId="0">
      <pane ySplit="5" topLeftCell="A6" activePane="bottomLeft" state="frozen"/>
      <selection pane="bottomLeft" activeCell="J141" sqref="J141"/>
    </sheetView>
  </sheetViews>
  <sheetFormatPr defaultColWidth="8.5703125" defaultRowHeight="15" outlineLevelRow="3" x14ac:dyDescent="0.25"/>
  <cols>
    <col min="2" max="2" width="12" style="45" bestFit="1" customWidth="1"/>
    <col min="3" max="3" width="16.42578125" style="45" bestFit="1" customWidth="1"/>
    <col min="4" max="4" width="67.85546875" customWidth="1"/>
    <col min="5" max="5" width="20.85546875" style="45" hidden="1" customWidth="1"/>
    <col min="6" max="6" width="10.140625" style="45" hidden="1" customWidth="1"/>
    <col min="7" max="7" width="13.42578125" style="45" hidden="1" customWidth="1"/>
    <col min="8" max="8" width="23" style="45" hidden="1" customWidth="1"/>
    <col min="9" max="9" width="15" bestFit="1" customWidth="1"/>
    <col min="10" max="10" width="20.42578125" bestFit="1" customWidth="1"/>
    <col min="11" max="11" width="15.85546875" bestFit="1" customWidth="1"/>
    <col min="12" max="12" width="17.140625" customWidth="1"/>
  </cols>
  <sheetData>
    <row r="2" spans="2:12" ht="24" customHeight="1" x14ac:dyDescent="0.25">
      <c r="B2" s="81" t="s">
        <v>90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2:12" ht="13.5" customHeight="1" x14ac:dyDescent="0.25">
      <c r="B3" s="80" t="s">
        <v>91</v>
      </c>
      <c r="C3" s="80"/>
      <c r="D3" s="80"/>
      <c r="E3" s="80"/>
      <c r="F3" s="80"/>
      <c r="G3" s="80"/>
      <c r="H3" s="80"/>
      <c r="I3" s="80"/>
    </row>
    <row r="5" spans="2:12" ht="30" customHeight="1" x14ac:dyDescent="0.25">
      <c r="B5" s="12" t="s">
        <v>57</v>
      </c>
      <c r="C5" s="12" t="s">
        <v>92</v>
      </c>
      <c r="D5" s="12" t="s">
        <v>93</v>
      </c>
      <c r="E5" s="12" t="s">
        <v>94</v>
      </c>
      <c r="F5" s="12" t="s">
        <v>95</v>
      </c>
      <c r="G5" s="56" t="s">
        <v>73</v>
      </c>
      <c r="H5" s="56" t="s">
        <v>66</v>
      </c>
      <c r="I5" s="56" t="s">
        <v>96</v>
      </c>
      <c r="J5" s="56" t="s">
        <v>97</v>
      </c>
      <c r="K5" s="56" t="s">
        <v>98</v>
      </c>
    </row>
    <row r="6" spans="2:12" ht="16.5" customHeight="1" x14ac:dyDescent="0.25">
      <c r="B6" s="46"/>
      <c r="C6" s="44"/>
      <c r="D6" s="13" t="s">
        <v>99</v>
      </c>
      <c r="E6" s="54"/>
      <c r="F6" s="46"/>
      <c r="G6" s="46"/>
      <c r="H6" s="46" t="str">
        <f>IF(F6=4,B6&amp;" - "&amp;C6,"")</f>
        <v/>
      </c>
      <c r="I6" s="14">
        <f>SUMIFS(I:I,$F:$F,1)</f>
        <v>0</v>
      </c>
      <c r="J6" s="14">
        <f>SUMIFS(J:J,$F:$F,1)</f>
        <v>0</v>
      </c>
      <c r="K6" s="14">
        <f>I6-J6</f>
        <v>0</v>
      </c>
    </row>
    <row r="7" spans="2:12" x14ac:dyDescent="0.25">
      <c r="B7" s="47">
        <v>1</v>
      </c>
      <c r="C7" s="48">
        <v>-1</v>
      </c>
      <c r="D7" s="49" t="s">
        <v>56</v>
      </c>
      <c r="E7" s="55" t="s">
        <v>100</v>
      </c>
      <c r="F7" s="47">
        <v>1</v>
      </c>
      <c r="G7" s="47" t="s">
        <v>101</v>
      </c>
      <c r="H7" s="47" t="str">
        <f>IF(F7=4,B7&amp;" - "&amp;C7,"")</f>
        <v/>
      </c>
      <c r="I7" s="14">
        <f>SUMIFS(I:I,$G:$G,'Controle EAP'!G7&amp;"????")</f>
        <v>0</v>
      </c>
      <c r="J7" s="50">
        <f>IF(F7=4,SUMIFS(Tabela1[PAGO],Tabela1[CHAVE],'Controle EAP'!H7),SUMIFS(J:J,$G:$G,'Controle EAP'!G7&amp;"????"))</f>
        <v>0</v>
      </c>
      <c r="K7" s="14">
        <f t="shared" ref="K7:K70" si="0">I7-J7</f>
        <v>0</v>
      </c>
    </row>
    <row r="8" spans="2:12" outlineLevel="1" x14ac:dyDescent="0.25">
      <c r="B8" s="47" t="s">
        <v>102</v>
      </c>
      <c r="C8" s="48">
        <v>-1</v>
      </c>
      <c r="D8" s="49" t="s">
        <v>103</v>
      </c>
      <c r="E8" s="55" t="s">
        <v>100</v>
      </c>
      <c r="F8" s="47">
        <v>2</v>
      </c>
      <c r="G8" s="47" t="s">
        <v>104</v>
      </c>
      <c r="H8" s="47" t="str">
        <f>IF(F8=4,B8&amp;" - "&amp;C8,"")</f>
        <v/>
      </c>
      <c r="I8" s="14">
        <f>SUMIFS(I:I,$G:$G,'Controle EAP'!G8&amp;"????")</f>
        <v>0</v>
      </c>
      <c r="J8" s="50">
        <f>IF(F8=4,SUMIFS(Tabela1[PAGO],Tabela1[CHAVE],'Controle EAP'!H8),SUMIFS(J:J,$G:$G,'Controle EAP'!G8&amp;"????"))</f>
        <v>0</v>
      </c>
      <c r="K8" s="14">
        <f t="shared" si="0"/>
        <v>0</v>
      </c>
    </row>
    <row r="9" spans="2:12" outlineLevel="2" collapsed="1" x14ac:dyDescent="0.25">
      <c r="B9" s="47" t="s">
        <v>105</v>
      </c>
      <c r="C9" s="48">
        <v>-1</v>
      </c>
      <c r="D9" s="49" t="s">
        <v>106</v>
      </c>
      <c r="E9" s="55" t="s">
        <v>100</v>
      </c>
      <c r="F9" s="47">
        <v>3</v>
      </c>
      <c r="G9" s="47" t="s">
        <v>107</v>
      </c>
      <c r="H9" s="47" t="str">
        <f>IF(F9=4,B9&amp;" - "&amp;C9,"")</f>
        <v/>
      </c>
      <c r="I9" s="14">
        <f>SUMIFS(I:I,$G:$G,'Controle EAP'!G9&amp;"????")</f>
        <v>0</v>
      </c>
      <c r="J9" s="50">
        <f>IF(F9=4,SUMIFS(Tabela1[PAGO],Tabela1[CHAVE],'Controle EAP'!H9),SUMIFS(J:J,$G:$G,'Controle EAP'!G9&amp;"????"))</f>
        <v>0</v>
      </c>
      <c r="K9" s="14">
        <f t="shared" si="0"/>
        <v>0</v>
      </c>
    </row>
    <row r="10" spans="2:12" hidden="1" outlineLevel="3" x14ac:dyDescent="0.25">
      <c r="B10" s="47" t="s">
        <v>86</v>
      </c>
      <c r="C10" s="48" t="s">
        <v>108</v>
      </c>
      <c r="D10" s="49" t="s">
        <v>109</v>
      </c>
      <c r="E10" s="55" t="s">
        <v>1034</v>
      </c>
      <c r="F10" s="47">
        <v>4</v>
      </c>
      <c r="G10" s="47" t="s">
        <v>110</v>
      </c>
      <c r="H10" s="47" t="str">
        <f>IF(F10=4,B10&amp;" - "&amp;C10,"")</f>
        <v>01.01.01.01 - C18612</v>
      </c>
      <c r="I10" s="50">
        <v>0</v>
      </c>
      <c r="J10" s="50">
        <f>IF(F10=4,SUMIFS(Tabela1[PAGO],Tabela1[CHAVE],'Controle EAP'!H10),SUMIFS(J:J,$G:$G,'Controle EAP'!G10&amp;"????"))</f>
        <v>0</v>
      </c>
      <c r="K10" s="14">
        <f t="shared" si="0"/>
        <v>0</v>
      </c>
    </row>
    <row r="11" spans="2:12" outlineLevel="2" collapsed="1" x14ac:dyDescent="0.25">
      <c r="B11" s="47" t="s">
        <v>111</v>
      </c>
      <c r="C11" s="48">
        <v>-1</v>
      </c>
      <c r="D11" s="49" t="s">
        <v>112</v>
      </c>
      <c r="E11" s="55" t="s">
        <v>100</v>
      </c>
      <c r="F11" s="47">
        <v>3</v>
      </c>
      <c r="G11" s="47" t="s">
        <v>113</v>
      </c>
      <c r="H11" s="47" t="str">
        <f>IF(F11=4,B11&amp;" - "&amp;C11,"")</f>
        <v/>
      </c>
      <c r="I11" s="14">
        <f>SUMIFS(I:I,$G:$G,'Controle EAP'!G11&amp;"????")</f>
        <v>0</v>
      </c>
      <c r="J11" s="50">
        <f>IF(F11=4,SUMIFS(Tabela1[PAGO],Tabela1[CHAVE],'Controle EAP'!H11),SUMIFS(J:J,$G:$G,'Controle EAP'!G11&amp;"????"))</f>
        <v>0</v>
      </c>
      <c r="K11" s="14">
        <f t="shared" si="0"/>
        <v>0</v>
      </c>
    </row>
    <row r="12" spans="2:12" hidden="1" outlineLevel="3" x14ac:dyDescent="0.25">
      <c r="B12" s="47" t="s">
        <v>78</v>
      </c>
      <c r="C12" s="48" t="s">
        <v>114</v>
      </c>
      <c r="D12" s="49" t="s">
        <v>115</v>
      </c>
      <c r="E12" s="55" t="s">
        <v>1034</v>
      </c>
      <c r="F12" s="47">
        <v>4</v>
      </c>
      <c r="G12" s="47" t="s">
        <v>116</v>
      </c>
      <c r="H12" s="47" t="str">
        <f>IF(F12=4,B12&amp;" - "&amp;C12,"")</f>
        <v>01.01.02.01 - C18698</v>
      </c>
      <c r="I12" s="50">
        <v>0</v>
      </c>
      <c r="J12" s="50">
        <f>IF(F12=4,SUMIFS(Tabela1[PAGO],Tabela1[CHAVE],'Controle EAP'!H12),SUMIFS(J:J,$G:$G,'Controle EAP'!G12&amp;"????"))</f>
        <v>0</v>
      </c>
      <c r="K12" s="14">
        <f t="shared" si="0"/>
        <v>0</v>
      </c>
    </row>
    <row r="13" spans="2:12" hidden="1" outlineLevel="3" x14ac:dyDescent="0.25">
      <c r="B13" s="47" t="s">
        <v>117</v>
      </c>
      <c r="C13" s="48" t="s">
        <v>118</v>
      </c>
      <c r="D13" s="49" t="s">
        <v>119</v>
      </c>
      <c r="E13" s="55" t="s">
        <v>1034</v>
      </c>
      <c r="F13" s="47">
        <v>4</v>
      </c>
      <c r="G13" s="47" t="s">
        <v>120</v>
      </c>
      <c r="H13" s="47" t="str">
        <f>IF(F13=4,B13&amp;" - "&amp;C13,"")</f>
        <v>01.01.02.02 - C18700</v>
      </c>
      <c r="I13" s="50">
        <v>0</v>
      </c>
      <c r="J13" s="50">
        <f>IF(F13=4,SUMIFS(Tabela1[PAGO],Tabela1[CHAVE],'Controle EAP'!H13),SUMIFS(J:J,$G:$G,'Controle EAP'!G13&amp;"????"))</f>
        <v>0</v>
      </c>
      <c r="K13" s="14">
        <f t="shared" si="0"/>
        <v>0</v>
      </c>
    </row>
    <row r="14" spans="2:12" hidden="1" outlineLevel="3" x14ac:dyDescent="0.25">
      <c r="B14" s="47" t="s">
        <v>121</v>
      </c>
      <c r="C14" s="48" t="s">
        <v>122</v>
      </c>
      <c r="D14" s="49" t="s">
        <v>123</v>
      </c>
      <c r="E14" s="55" t="s">
        <v>1034</v>
      </c>
      <c r="F14" s="47">
        <v>4</v>
      </c>
      <c r="G14" s="47" t="s">
        <v>124</v>
      </c>
      <c r="H14" s="47" t="str">
        <f>IF(F14=4,B14&amp;" - "&amp;C14,"")</f>
        <v>01.01.02.03 - C18701</v>
      </c>
      <c r="I14" s="50">
        <v>0</v>
      </c>
      <c r="J14" s="50">
        <f>IF(F14=4,SUMIFS(Tabela1[PAGO],Tabela1[CHAVE],'Controle EAP'!H14),SUMIFS(J:J,$G:$G,'Controle EAP'!G14&amp;"????"))</f>
        <v>0</v>
      </c>
      <c r="K14" s="14">
        <f t="shared" si="0"/>
        <v>0</v>
      </c>
    </row>
    <row r="15" spans="2:12" hidden="1" outlineLevel="3" x14ac:dyDescent="0.25">
      <c r="B15" s="47" t="s">
        <v>125</v>
      </c>
      <c r="C15" s="48" t="s">
        <v>126</v>
      </c>
      <c r="D15" s="49" t="s">
        <v>127</v>
      </c>
      <c r="E15" s="55" t="s">
        <v>1034</v>
      </c>
      <c r="F15" s="47">
        <v>4</v>
      </c>
      <c r="G15" s="47" t="s">
        <v>128</v>
      </c>
      <c r="H15" s="47" t="str">
        <f>IF(F15=4,B15&amp;" - "&amp;C15,"")</f>
        <v>01.01.02.04 - C15897</v>
      </c>
      <c r="I15" s="50">
        <v>0</v>
      </c>
      <c r="J15" s="50">
        <f>IF(F15=4,SUMIFS(Tabela1[PAGO],Tabela1[CHAVE],'Controle EAP'!H15),SUMIFS(J:J,$G:$G,'Controle EAP'!G15&amp;"????"))</f>
        <v>0</v>
      </c>
      <c r="K15" s="14">
        <f t="shared" si="0"/>
        <v>0</v>
      </c>
    </row>
    <row r="16" spans="2:12" hidden="1" outlineLevel="3" x14ac:dyDescent="0.25">
      <c r="B16" s="47" t="s">
        <v>129</v>
      </c>
      <c r="C16" s="48" t="s">
        <v>130</v>
      </c>
      <c r="D16" s="49" t="s">
        <v>131</v>
      </c>
      <c r="E16" s="55" t="s">
        <v>1034</v>
      </c>
      <c r="F16" s="47">
        <v>4</v>
      </c>
      <c r="G16" s="47" t="s">
        <v>132</v>
      </c>
      <c r="H16" s="47" t="str">
        <f>IF(F16=4,B16&amp;" - "&amp;C16,"")</f>
        <v>01.01.02.05 - C19273</v>
      </c>
      <c r="I16" s="50">
        <v>0</v>
      </c>
      <c r="J16" s="50">
        <f>IF(F16=4,SUMIFS(Tabela1[PAGO],Tabela1[CHAVE],'Controle EAP'!H16),SUMIFS(J:J,$G:$G,'Controle EAP'!G16&amp;"????"))</f>
        <v>0</v>
      </c>
      <c r="K16" s="14">
        <f t="shared" si="0"/>
        <v>0</v>
      </c>
    </row>
    <row r="17" spans="2:11" hidden="1" outlineLevel="3" x14ac:dyDescent="0.25">
      <c r="B17" s="47" t="s">
        <v>133</v>
      </c>
      <c r="C17" s="48" t="s">
        <v>134</v>
      </c>
      <c r="D17" s="49" t="s">
        <v>135</v>
      </c>
      <c r="E17" s="55" t="s">
        <v>1034</v>
      </c>
      <c r="F17" s="47">
        <v>4</v>
      </c>
      <c r="G17" s="47" t="s">
        <v>136</v>
      </c>
      <c r="H17" s="47" t="str">
        <f>IF(F17=4,B17&amp;" - "&amp;C17,"")</f>
        <v>01.01.02.06 - C12930</v>
      </c>
      <c r="I17" s="50">
        <v>0</v>
      </c>
      <c r="J17" s="50">
        <f>IF(F17=4,SUMIFS(Tabela1[PAGO],Tabela1[CHAVE],'Controle EAP'!H17),SUMIFS(J:J,$G:$G,'Controle EAP'!G17&amp;"????"))</f>
        <v>0</v>
      </c>
      <c r="K17" s="14">
        <f t="shared" si="0"/>
        <v>0</v>
      </c>
    </row>
    <row r="18" spans="2:11" hidden="1" outlineLevel="3" x14ac:dyDescent="0.25">
      <c r="B18" s="47" t="s">
        <v>137</v>
      </c>
      <c r="C18" s="48" t="s">
        <v>138</v>
      </c>
      <c r="D18" s="49" t="s">
        <v>139</v>
      </c>
      <c r="E18" s="55" t="s">
        <v>1034</v>
      </c>
      <c r="F18" s="47">
        <v>4</v>
      </c>
      <c r="G18" s="47" t="s">
        <v>140</v>
      </c>
      <c r="H18" s="47" t="str">
        <f>IF(F18=4,B18&amp;" - "&amp;C18,"")</f>
        <v>01.01.02.07 - C17211</v>
      </c>
      <c r="I18" s="50">
        <v>0</v>
      </c>
      <c r="J18" s="50">
        <f>IF(F18=4,SUMIFS(Tabela1[PAGO],Tabela1[CHAVE],'Controle EAP'!H18),SUMIFS(J:J,$G:$G,'Controle EAP'!G18&amp;"????"))</f>
        <v>0</v>
      </c>
      <c r="K18" s="14">
        <f t="shared" si="0"/>
        <v>0</v>
      </c>
    </row>
    <row r="19" spans="2:11" hidden="1" outlineLevel="3" x14ac:dyDescent="0.25">
      <c r="B19" s="47" t="s">
        <v>141</v>
      </c>
      <c r="C19" s="48" t="s">
        <v>142</v>
      </c>
      <c r="D19" s="49" t="s">
        <v>143</v>
      </c>
      <c r="E19" s="55" t="s">
        <v>1034</v>
      </c>
      <c r="F19" s="47">
        <v>4</v>
      </c>
      <c r="G19" s="47" t="s">
        <v>144</v>
      </c>
      <c r="H19" s="47" t="str">
        <f>IF(F19=4,B19&amp;" - "&amp;C19,"")</f>
        <v>01.01.02.08 - CO330</v>
      </c>
      <c r="I19" s="50">
        <v>0</v>
      </c>
      <c r="J19" s="50">
        <f>IF(F19=4,SUMIFS(Tabela1[PAGO],Tabela1[CHAVE],'Controle EAP'!H19),SUMIFS(J:J,$G:$G,'Controle EAP'!G19&amp;"????"))</f>
        <v>0</v>
      </c>
      <c r="K19" s="14">
        <f t="shared" si="0"/>
        <v>0</v>
      </c>
    </row>
    <row r="20" spans="2:11" hidden="1" outlineLevel="3" x14ac:dyDescent="0.25">
      <c r="B20" s="47" t="s">
        <v>145</v>
      </c>
      <c r="C20" s="48" t="s">
        <v>146</v>
      </c>
      <c r="D20" s="49" t="s">
        <v>147</v>
      </c>
      <c r="E20" s="55" t="s">
        <v>1034</v>
      </c>
      <c r="F20" s="47">
        <v>4</v>
      </c>
      <c r="G20" s="47" t="s">
        <v>148</v>
      </c>
      <c r="H20" s="47" t="str">
        <f>IF(F20=4,B20&amp;" - "&amp;C20,"")</f>
        <v>01.01.02.09 - C12643</v>
      </c>
      <c r="I20" s="50">
        <v>0</v>
      </c>
      <c r="J20" s="50">
        <f>IF(F20=4,SUMIFS(Tabela1[PAGO],Tabela1[CHAVE],'Controle EAP'!H20),SUMIFS(J:J,$G:$G,'Controle EAP'!G20&amp;"????"))</f>
        <v>0</v>
      </c>
      <c r="K20" s="14">
        <f t="shared" si="0"/>
        <v>0</v>
      </c>
    </row>
    <row r="21" spans="2:11" hidden="1" outlineLevel="3" x14ac:dyDescent="0.25">
      <c r="B21" s="47" t="s">
        <v>149</v>
      </c>
      <c r="C21" s="48" t="s">
        <v>150</v>
      </c>
      <c r="D21" s="49" t="s">
        <v>151</v>
      </c>
      <c r="E21" s="55" t="s">
        <v>1034</v>
      </c>
      <c r="F21" s="47">
        <v>4</v>
      </c>
      <c r="G21" s="47" t="s">
        <v>152</v>
      </c>
      <c r="H21" s="47" t="str">
        <f>IF(F21=4,B21&amp;" - "&amp;C21,"")</f>
        <v>01.01.02.11 - C19930</v>
      </c>
      <c r="I21" s="50">
        <v>0</v>
      </c>
      <c r="J21" s="50">
        <f>IF(F21=4,SUMIFS(Tabela1[PAGO],Tabela1[CHAVE],'Controle EAP'!H21),SUMIFS(J:J,$G:$G,'Controle EAP'!G21&amp;"????"))</f>
        <v>0</v>
      </c>
      <c r="K21" s="14">
        <f t="shared" si="0"/>
        <v>0</v>
      </c>
    </row>
    <row r="22" spans="2:11" hidden="1" outlineLevel="3" x14ac:dyDescent="0.25">
      <c r="B22" s="47" t="s">
        <v>153</v>
      </c>
      <c r="C22" s="48" t="s">
        <v>154</v>
      </c>
      <c r="D22" s="49" t="s">
        <v>155</v>
      </c>
      <c r="E22" s="55" t="s">
        <v>1034</v>
      </c>
      <c r="F22" s="47">
        <v>4</v>
      </c>
      <c r="G22" s="47" t="s">
        <v>156</v>
      </c>
      <c r="H22" s="47" t="str">
        <f>IF(F22=4,B22&amp;" - "&amp;C22,"")</f>
        <v>01.01.02.13 - C15008</v>
      </c>
      <c r="I22" s="50">
        <v>0</v>
      </c>
      <c r="J22" s="50">
        <f>IF(F22=4,SUMIFS(Tabela1[PAGO],Tabela1[CHAVE],'Controle EAP'!H22),SUMIFS(J:J,$G:$G,'Controle EAP'!G22&amp;"????"))</f>
        <v>0</v>
      </c>
      <c r="K22" s="14">
        <f t="shared" si="0"/>
        <v>0</v>
      </c>
    </row>
    <row r="23" spans="2:11" hidden="1" outlineLevel="3" x14ac:dyDescent="0.25">
      <c r="B23" s="47" t="s">
        <v>157</v>
      </c>
      <c r="C23" s="48" t="s">
        <v>158</v>
      </c>
      <c r="D23" s="49" t="s">
        <v>159</v>
      </c>
      <c r="E23" s="55" t="s">
        <v>1034</v>
      </c>
      <c r="F23" s="47">
        <v>4</v>
      </c>
      <c r="G23" s="47" t="s">
        <v>160</v>
      </c>
      <c r="H23" s="47" t="str">
        <f>IF(F23=4,B23&amp;" - "&amp;C23,"")</f>
        <v>01.01.02.14 - C15194</v>
      </c>
      <c r="I23" s="50">
        <v>0</v>
      </c>
      <c r="J23" s="50">
        <f>IF(F23=4,SUMIFS(Tabela1[PAGO],Tabela1[CHAVE],'Controle EAP'!H23),SUMIFS(J:J,$G:$G,'Controle EAP'!G23&amp;"????"))</f>
        <v>0</v>
      </c>
      <c r="K23" s="14">
        <f t="shared" si="0"/>
        <v>0</v>
      </c>
    </row>
    <row r="24" spans="2:11" hidden="1" outlineLevel="3" x14ac:dyDescent="0.25">
      <c r="B24" s="47" t="s">
        <v>161</v>
      </c>
      <c r="C24" s="48" t="s">
        <v>162</v>
      </c>
      <c r="D24" s="49" t="s">
        <v>163</v>
      </c>
      <c r="E24" s="55" t="s">
        <v>1034</v>
      </c>
      <c r="F24" s="47">
        <v>4</v>
      </c>
      <c r="G24" s="47" t="s">
        <v>164</v>
      </c>
      <c r="H24" s="47" t="str">
        <f>IF(F24=4,B24&amp;" - "&amp;C24,"")</f>
        <v>01.01.02.15 - C14351</v>
      </c>
      <c r="I24" s="50">
        <v>0</v>
      </c>
      <c r="J24" s="50">
        <f>IF(F24=4,SUMIFS(Tabela1[PAGO],Tabela1[CHAVE],'Controle EAP'!H24),SUMIFS(J:J,$G:$G,'Controle EAP'!G24&amp;"????"))</f>
        <v>0</v>
      </c>
      <c r="K24" s="14">
        <f t="shared" si="0"/>
        <v>0</v>
      </c>
    </row>
    <row r="25" spans="2:11" hidden="1" outlineLevel="3" x14ac:dyDescent="0.25">
      <c r="B25" s="47" t="s">
        <v>165</v>
      </c>
      <c r="C25" s="48" t="s">
        <v>166</v>
      </c>
      <c r="D25" s="49" t="s">
        <v>167</v>
      </c>
      <c r="E25" s="55" t="s">
        <v>1034</v>
      </c>
      <c r="F25" s="47">
        <v>4</v>
      </c>
      <c r="G25" s="47" t="s">
        <v>168</v>
      </c>
      <c r="H25" s="47" t="str">
        <f>IF(F25=4,B25&amp;" - "&amp;C25,"")</f>
        <v>01.01.02.17 - C18702</v>
      </c>
      <c r="I25" s="50">
        <v>0</v>
      </c>
      <c r="J25" s="50">
        <f>IF(F25=4,SUMIFS(Tabela1[PAGO],Tabela1[CHAVE],'Controle EAP'!H25),SUMIFS(J:J,$G:$G,'Controle EAP'!G25&amp;"????"))</f>
        <v>0</v>
      </c>
      <c r="K25" s="14">
        <f t="shared" si="0"/>
        <v>0</v>
      </c>
    </row>
    <row r="26" spans="2:11" outlineLevel="2" collapsed="1" x14ac:dyDescent="0.25">
      <c r="B26" s="47" t="s">
        <v>872</v>
      </c>
      <c r="C26" s="48">
        <v>-1</v>
      </c>
      <c r="D26" s="49" t="s">
        <v>979</v>
      </c>
      <c r="E26" s="55" t="s">
        <v>100</v>
      </c>
      <c r="F26" s="47">
        <v>3</v>
      </c>
      <c r="G26" s="47" t="s">
        <v>171</v>
      </c>
      <c r="H26" s="47" t="str">
        <f>IF(F26=4,B26&amp;" - "&amp;C26,"")</f>
        <v/>
      </c>
      <c r="I26" s="14">
        <f>SUMIFS(I:I,$G:$G,'Controle EAP'!G26&amp;"????")</f>
        <v>0</v>
      </c>
      <c r="J26" s="50">
        <f>IF(F26=4,SUMIFS(Tabela1[PAGO],Tabela1[CHAVE],'Controle EAP'!H26),SUMIFS(J:J,$G:$G,'Controle EAP'!G26&amp;"????"))</f>
        <v>0</v>
      </c>
      <c r="K26" s="14">
        <f t="shared" si="0"/>
        <v>0</v>
      </c>
    </row>
    <row r="27" spans="2:11" hidden="1" outlineLevel="3" x14ac:dyDescent="0.25">
      <c r="B27" s="47" t="s">
        <v>873</v>
      </c>
      <c r="C27" s="48" t="s">
        <v>928</v>
      </c>
      <c r="D27" s="49" t="s">
        <v>980</v>
      </c>
      <c r="E27" s="55" t="s">
        <v>1034</v>
      </c>
      <c r="F27" s="47">
        <v>4</v>
      </c>
      <c r="G27" s="47" t="s">
        <v>174</v>
      </c>
      <c r="H27" s="47" t="str">
        <f>IF(F27=4,B27&amp;" - "&amp;C27,"")</f>
        <v>01.01.03.01 - C17519</v>
      </c>
      <c r="I27" s="50">
        <v>0</v>
      </c>
      <c r="J27" s="50">
        <f>IF(F27=4,SUMIFS(Tabela1[PAGO],Tabela1[CHAVE],'Controle EAP'!H27),SUMIFS(J:J,$G:$G,'Controle EAP'!G27&amp;"????"))</f>
        <v>0</v>
      </c>
      <c r="K27" s="14">
        <f t="shared" si="0"/>
        <v>0</v>
      </c>
    </row>
    <row r="28" spans="2:11" hidden="1" outlineLevel="3" x14ac:dyDescent="0.25">
      <c r="B28" s="47" t="s">
        <v>874</v>
      </c>
      <c r="C28" s="48" t="s">
        <v>929</v>
      </c>
      <c r="D28" s="49" t="s">
        <v>981</v>
      </c>
      <c r="E28" s="55" t="s">
        <v>1034</v>
      </c>
      <c r="F28" s="47">
        <v>4</v>
      </c>
      <c r="G28" s="47" t="s">
        <v>1035</v>
      </c>
      <c r="H28" s="47" t="str">
        <f>IF(F28=4,B28&amp;" - "&amp;C28,"")</f>
        <v>01.01.03.02 - C14888</v>
      </c>
      <c r="I28" s="50">
        <v>0</v>
      </c>
      <c r="J28" s="50">
        <f>IF(F28=4,SUMIFS(Tabela1[PAGO],Tabela1[CHAVE],'Controle EAP'!H28),SUMIFS(J:J,$G:$G,'Controle EAP'!G28&amp;"????"))</f>
        <v>0</v>
      </c>
      <c r="K28" s="14">
        <f t="shared" si="0"/>
        <v>0</v>
      </c>
    </row>
    <row r="29" spans="2:11" hidden="1" outlineLevel="3" x14ac:dyDescent="0.25">
      <c r="B29" s="47" t="s">
        <v>875</v>
      </c>
      <c r="C29" s="48" t="s">
        <v>930</v>
      </c>
      <c r="D29" s="49" t="s">
        <v>982</v>
      </c>
      <c r="E29" s="55" t="s">
        <v>1034</v>
      </c>
      <c r="F29" s="47">
        <v>4</v>
      </c>
      <c r="G29" s="47" t="s">
        <v>1036</v>
      </c>
      <c r="H29" s="47" t="str">
        <f>IF(F29=4,B29&amp;" - "&amp;C29,"")</f>
        <v>01.01.03.03 - C11595</v>
      </c>
      <c r="I29" s="50">
        <v>0</v>
      </c>
      <c r="J29" s="50">
        <f>IF(F29=4,SUMIFS(Tabela1[PAGO],Tabela1[CHAVE],'Controle EAP'!H29),SUMIFS(J:J,$G:$G,'Controle EAP'!G29&amp;"????"))</f>
        <v>0</v>
      </c>
      <c r="K29" s="14">
        <f t="shared" si="0"/>
        <v>0</v>
      </c>
    </row>
    <row r="30" spans="2:11" hidden="1" outlineLevel="3" x14ac:dyDescent="0.25">
      <c r="B30" s="47" t="s">
        <v>876</v>
      </c>
      <c r="C30" s="48" t="s">
        <v>931</v>
      </c>
      <c r="D30" s="49" t="s">
        <v>983</v>
      </c>
      <c r="E30" s="55" t="s">
        <v>1034</v>
      </c>
      <c r="F30" s="47">
        <v>4</v>
      </c>
      <c r="G30" s="47" t="s">
        <v>1037</v>
      </c>
      <c r="H30" s="47" t="str">
        <f>IF(F30=4,B30&amp;" - "&amp;C30,"")</f>
        <v>01.01.03.04 - C18296</v>
      </c>
      <c r="I30" s="50">
        <v>0</v>
      </c>
      <c r="J30" s="50">
        <f>IF(F30=4,SUMIFS(Tabela1[PAGO],Tabela1[CHAVE],'Controle EAP'!H30),SUMIFS(J:J,$G:$G,'Controle EAP'!G30&amp;"????"))</f>
        <v>0</v>
      </c>
      <c r="K30" s="14">
        <f t="shared" si="0"/>
        <v>0</v>
      </c>
    </row>
    <row r="31" spans="2:11" hidden="1" outlineLevel="3" x14ac:dyDescent="0.25">
      <c r="B31" s="47" t="s">
        <v>877</v>
      </c>
      <c r="C31" s="48" t="s">
        <v>932</v>
      </c>
      <c r="D31" s="49" t="s">
        <v>984</v>
      </c>
      <c r="E31" s="55" t="s">
        <v>1034</v>
      </c>
      <c r="F31" s="47">
        <v>4</v>
      </c>
      <c r="G31" s="47" t="s">
        <v>1038</v>
      </c>
      <c r="H31" s="47" t="str">
        <f>IF(F31=4,B31&amp;" - "&amp;C31,"")</f>
        <v>01.01.03.05 - C18363</v>
      </c>
      <c r="I31" s="50">
        <v>0</v>
      </c>
      <c r="J31" s="50">
        <f>IF(F31=4,SUMIFS(Tabela1[PAGO],Tabela1[CHAVE],'Controle EAP'!H31),SUMIFS(J:J,$G:$G,'Controle EAP'!G31&amp;"????"))</f>
        <v>0</v>
      </c>
      <c r="K31" s="14">
        <f t="shared" si="0"/>
        <v>0</v>
      </c>
    </row>
    <row r="32" spans="2:11" hidden="1" outlineLevel="3" x14ac:dyDescent="0.25">
      <c r="B32" s="47" t="s">
        <v>878</v>
      </c>
      <c r="C32" s="48" t="s">
        <v>933</v>
      </c>
      <c r="D32" s="49" t="s">
        <v>985</v>
      </c>
      <c r="E32" s="55" t="s">
        <v>1034</v>
      </c>
      <c r="F32" s="47">
        <v>4</v>
      </c>
      <c r="G32" s="47" t="s">
        <v>1039</v>
      </c>
      <c r="H32" s="47" t="str">
        <f>IF(F32=4,B32&amp;" - "&amp;C32,"")</f>
        <v>01.01.03.06 - C18411</v>
      </c>
      <c r="I32" s="50">
        <v>0</v>
      </c>
      <c r="J32" s="50">
        <f>IF(F32=4,SUMIFS(Tabela1[PAGO],Tabela1[CHAVE],'Controle EAP'!H32),SUMIFS(J:J,$G:$G,'Controle EAP'!G32&amp;"????"))</f>
        <v>0</v>
      </c>
      <c r="K32" s="14">
        <f t="shared" si="0"/>
        <v>0</v>
      </c>
    </row>
    <row r="33" spans="2:11" hidden="1" outlineLevel="3" x14ac:dyDescent="0.25">
      <c r="B33" s="47" t="s">
        <v>879</v>
      </c>
      <c r="C33" s="48" t="s">
        <v>934</v>
      </c>
      <c r="D33" s="49" t="s">
        <v>986</v>
      </c>
      <c r="E33" s="55" t="s">
        <v>1034</v>
      </c>
      <c r="F33" s="47">
        <v>4</v>
      </c>
      <c r="G33" s="47" t="s">
        <v>1040</v>
      </c>
      <c r="H33" s="47" t="str">
        <f>IF(F33=4,B33&amp;" - "&amp;C33,"")</f>
        <v>01.01.03.07 - C00767</v>
      </c>
      <c r="I33" s="50">
        <v>0</v>
      </c>
      <c r="J33" s="50">
        <f>IF(F33=4,SUMIFS(Tabela1[PAGO],Tabela1[CHAVE],'Controle EAP'!H33),SUMIFS(J:J,$G:$G,'Controle EAP'!G33&amp;"????"))</f>
        <v>0</v>
      </c>
      <c r="K33" s="14">
        <f t="shared" si="0"/>
        <v>0</v>
      </c>
    </row>
    <row r="34" spans="2:11" hidden="1" outlineLevel="3" x14ac:dyDescent="0.25">
      <c r="B34" s="47" t="s">
        <v>880</v>
      </c>
      <c r="C34" s="48" t="s">
        <v>935</v>
      </c>
      <c r="D34" s="49" t="s">
        <v>987</v>
      </c>
      <c r="E34" s="55" t="s">
        <v>1034</v>
      </c>
      <c r="F34" s="47">
        <v>4</v>
      </c>
      <c r="G34" s="47" t="s">
        <v>1041</v>
      </c>
      <c r="H34" s="47" t="str">
        <f>IF(F34=4,B34&amp;" - "&amp;C34,"")</f>
        <v>01.01.03.08 - C18114</v>
      </c>
      <c r="I34" s="50">
        <v>0</v>
      </c>
      <c r="J34" s="50">
        <f>IF(F34=4,SUMIFS(Tabela1[PAGO],Tabela1[CHAVE],'Controle EAP'!H34),SUMIFS(J:J,$G:$G,'Controle EAP'!G34&amp;"????"))</f>
        <v>0</v>
      </c>
      <c r="K34" s="14">
        <f t="shared" si="0"/>
        <v>0</v>
      </c>
    </row>
    <row r="35" spans="2:11" hidden="1" outlineLevel="3" x14ac:dyDescent="0.25">
      <c r="B35" s="47" t="s">
        <v>881</v>
      </c>
      <c r="C35" s="48" t="s">
        <v>936</v>
      </c>
      <c r="D35" s="49" t="s">
        <v>988</v>
      </c>
      <c r="E35" s="55" t="s">
        <v>1034</v>
      </c>
      <c r="F35" s="47">
        <v>4</v>
      </c>
      <c r="G35" s="47" t="s">
        <v>1042</v>
      </c>
      <c r="H35" s="47" t="str">
        <f>IF(F35=4,B35&amp;" - "&amp;C35,"")</f>
        <v>01.01.03.09 - C11639</v>
      </c>
      <c r="I35" s="50">
        <v>0</v>
      </c>
      <c r="J35" s="50">
        <f>IF(F35=4,SUMIFS(Tabela1[PAGO],Tabela1[CHAVE],'Controle EAP'!H35),SUMIFS(J:J,$G:$G,'Controle EAP'!G35&amp;"????"))</f>
        <v>0</v>
      </c>
      <c r="K35" s="14">
        <f t="shared" si="0"/>
        <v>0</v>
      </c>
    </row>
    <row r="36" spans="2:11" hidden="1" outlineLevel="3" x14ac:dyDescent="0.25">
      <c r="B36" s="47" t="s">
        <v>882</v>
      </c>
      <c r="C36" s="48" t="s">
        <v>937</v>
      </c>
      <c r="D36" s="49" t="s">
        <v>989</v>
      </c>
      <c r="E36" s="55" t="s">
        <v>1034</v>
      </c>
      <c r="F36" s="47">
        <v>4</v>
      </c>
      <c r="G36" s="47" t="s">
        <v>1043</v>
      </c>
      <c r="H36" s="47" t="str">
        <f>IF(F36=4,B36&amp;" - "&amp;C36,"")</f>
        <v>01.01.03.10 - C18389</v>
      </c>
      <c r="I36" s="50">
        <v>0</v>
      </c>
      <c r="J36" s="50">
        <f>IF(F36=4,SUMIFS(Tabela1[PAGO],Tabela1[CHAVE],'Controle EAP'!H36),SUMIFS(J:J,$G:$G,'Controle EAP'!G36&amp;"????"))</f>
        <v>0</v>
      </c>
      <c r="K36" s="14">
        <f t="shared" si="0"/>
        <v>0</v>
      </c>
    </row>
    <row r="37" spans="2:11" hidden="1" outlineLevel="3" x14ac:dyDescent="0.25">
      <c r="B37" s="47" t="s">
        <v>883</v>
      </c>
      <c r="C37" s="48" t="s">
        <v>938</v>
      </c>
      <c r="D37" s="49" t="s">
        <v>990</v>
      </c>
      <c r="E37" s="55" t="s">
        <v>1034</v>
      </c>
      <c r="F37" s="47">
        <v>4</v>
      </c>
      <c r="G37" s="47" t="s">
        <v>1044</v>
      </c>
      <c r="H37" s="47" t="str">
        <f>IF(F37=4,B37&amp;" - "&amp;C37,"")</f>
        <v>01.01.03.11 - C12852</v>
      </c>
      <c r="I37" s="50">
        <v>0</v>
      </c>
      <c r="J37" s="50">
        <f>IF(F37=4,SUMIFS(Tabela1[PAGO],Tabela1[CHAVE],'Controle EAP'!H37),SUMIFS(J:J,$G:$G,'Controle EAP'!G37&amp;"????"))</f>
        <v>0</v>
      </c>
      <c r="K37" s="14">
        <f t="shared" si="0"/>
        <v>0</v>
      </c>
    </row>
    <row r="38" spans="2:11" hidden="1" outlineLevel="3" x14ac:dyDescent="0.25">
      <c r="B38" s="47" t="s">
        <v>884</v>
      </c>
      <c r="C38" s="48" t="s">
        <v>939</v>
      </c>
      <c r="D38" s="49" t="s">
        <v>991</v>
      </c>
      <c r="E38" s="55" t="s">
        <v>1034</v>
      </c>
      <c r="F38" s="47">
        <v>4</v>
      </c>
      <c r="G38" s="47" t="s">
        <v>1045</v>
      </c>
      <c r="H38" s="47" t="str">
        <f>IF(F38=4,B38&amp;" - "&amp;C38,"")</f>
        <v>01.01.03.12 - C17641</v>
      </c>
      <c r="I38" s="50">
        <v>0</v>
      </c>
      <c r="J38" s="50">
        <f>IF(F38=4,SUMIFS(Tabela1[PAGO],Tabela1[CHAVE],'Controle EAP'!H38),SUMIFS(J:J,$G:$G,'Controle EAP'!G38&amp;"????"))</f>
        <v>0</v>
      </c>
      <c r="K38" s="14">
        <f t="shared" si="0"/>
        <v>0</v>
      </c>
    </row>
    <row r="39" spans="2:11" hidden="1" outlineLevel="3" x14ac:dyDescent="0.25">
      <c r="B39" s="47" t="s">
        <v>885</v>
      </c>
      <c r="C39" s="48" t="s">
        <v>940</v>
      </c>
      <c r="D39" s="49" t="s">
        <v>992</v>
      </c>
      <c r="E39" s="55" t="s">
        <v>1034</v>
      </c>
      <c r="F39" s="47">
        <v>4</v>
      </c>
      <c r="G39" s="47" t="s">
        <v>1046</v>
      </c>
      <c r="H39" s="47" t="str">
        <f>IF(F39=4,B39&amp;" - "&amp;C39,"")</f>
        <v>01.01.03.13 - CO037</v>
      </c>
      <c r="I39" s="50">
        <v>0</v>
      </c>
      <c r="J39" s="50">
        <f>IF(F39=4,SUMIFS(Tabela1[PAGO],Tabela1[CHAVE],'Controle EAP'!H39),SUMIFS(J:J,$G:$G,'Controle EAP'!G39&amp;"????"))</f>
        <v>0</v>
      </c>
      <c r="K39" s="14">
        <f t="shared" si="0"/>
        <v>0</v>
      </c>
    </row>
    <row r="40" spans="2:11" hidden="1" outlineLevel="3" x14ac:dyDescent="0.25">
      <c r="B40" s="47" t="s">
        <v>886</v>
      </c>
      <c r="C40" s="48" t="s">
        <v>940</v>
      </c>
      <c r="D40" s="49" t="s">
        <v>992</v>
      </c>
      <c r="E40" s="55" t="s">
        <v>1034</v>
      </c>
      <c r="F40" s="47">
        <v>4</v>
      </c>
      <c r="G40" s="47" t="s">
        <v>1047</v>
      </c>
      <c r="H40" s="47" t="str">
        <f>IF(F40=4,B40&amp;" - "&amp;C40,"")</f>
        <v>01.01.03.14 - CO037</v>
      </c>
      <c r="I40" s="50">
        <v>0</v>
      </c>
      <c r="J40" s="50">
        <f>IF(F40=4,SUMIFS(Tabela1[PAGO],Tabela1[CHAVE],'Controle EAP'!H40),SUMIFS(J:J,$G:$G,'Controle EAP'!G40&amp;"????"))</f>
        <v>0</v>
      </c>
      <c r="K40" s="14">
        <f t="shared" si="0"/>
        <v>0</v>
      </c>
    </row>
    <row r="41" spans="2:11" hidden="1" outlineLevel="3" x14ac:dyDescent="0.25">
      <c r="B41" s="47" t="s">
        <v>887</v>
      </c>
      <c r="C41" s="48" t="s">
        <v>941</v>
      </c>
      <c r="D41" s="49" t="s">
        <v>993</v>
      </c>
      <c r="E41" s="55" t="s">
        <v>1034</v>
      </c>
      <c r="F41" s="47">
        <v>4</v>
      </c>
      <c r="G41" s="47" t="s">
        <v>1048</v>
      </c>
      <c r="H41" s="47" t="str">
        <f>IF(F41=4,B41&amp;" - "&amp;C41,"")</f>
        <v>01.01.03.15 - CO578</v>
      </c>
      <c r="I41" s="50">
        <v>0</v>
      </c>
      <c r="J41" s="50">
        <f>IF(F41=4,SUMIFS(Tabela1[PAGO],Tabela1[CHAVE],'Controle EAP'!H41),SUMIFS(J:J,$G:$G,'Controle EAP'!G41&amp;"????"))</f>
        <v>0</v>
      </c>
      <c r="K41" s="14">
        <f t="shared" si="0"/>
        <v>0</v>
      </c>
    </row>
    <row r="42" spans="2:11" hidden="1" outlineLevel="3" x14ac:dyDescent="0.25">
      <c r="B42" s="47" t="s">
        <v>888</v>
      </c>
      <c r="C42" s="48" t="s">
        <v>942</v>
      </c>
      <c r="D42" s="49" t="s">
        <v>994</v>
      </c>
      <c r="E42" s="55" t="s">
        <v>1034</v>
      </c>
      <c r="F42" s="47">
        <v>4</v>
      </c>
      <c r="G42" s="47" t="s">
        <v>1049</v>
      </c>
      <c r="H42" s="47" t="str">
        <f>IF(F42=4,B42&amp;" - "&amp;C42,"")</f>
        <v>01.01.03.16 - C17248</v>
      </c>
      <c r="I42" s="50">
        <v>0</v>
      </c>
      <c r="J42" s="50">
        <f>IF(F42=4,SUMIFS(Tabela1[PAGO],Tabela1[CHAVE],'Controle EAP'!H42),SUMIFS(J:J,$G:$G,'Controle EAP'!G42&amp;"????"))</f>
        <v>0</v>
      </c>
      <c r="K42" s="14">
        <f t="shared" si="0"/>
        <v>0</v>
      </c>
    </row>
    <row r="43" spans="2:11" hidden="1" outlineLevel="3" x14ac:dyDescent="0.25">
      <c r="B43" s="47" t="s">
        <v>889</v>
      </c>
      <c r="C43" s="48" t="s">
        <v>943</v>
      </c>
      <c r="D43" s="49" t="s">
        <v>995</v>
      </c>
      <c r="E43" s="55" t="s">
        <v>1034</v>
      </c>
      <c r="F43" s="47">
        <v>4</v>
      </c>
      <c r="G43" s="47" t="s">
        <v>1050</v>
      </c>
      <c r="H43" s="47" t="str">
        <f>IF(F43=4,B43&amp;" - "&amp;C43,"")</f>
        <v>01.01.03.17 - C17603</v>
      </c>
      <c r="I43" s="50">
        <v>0</v>
      </c>
      <c r="J43" s="50">
        <f>IF(F43=4,SUMIFS(Tabela1[PAGO],Tabela1[CHAVE],'Controle EAP'!H43),SUMIFS(J:J,$G:$G,'Controle EAP'!G43&amp;"????"))</f>
        <v>0</v>
      </c>
      <c r="K43" s="14">
        <f t="shared" si="0"/>
        <v>0</v>
      </c>
    </row>
    <row r="44" spans="2:11" hidden="1" outlineLevel="3" x14ac:dyDescent="0.25">
      <c r="B44" s="47" t="s">
        <v>890</v>
      </c>
      <c r="C44" s="48" t="s">
        <v>944</v>
      </c>
      <c r="D44" s="49" t="s">
        <v>996</v>
      </c>
      <c r="E44" s="55" t="s">
        <v>1034</v>
      </c>
      <c r="F44" s="47">
        <v>4</v>
      </c>
      <c r="G44" s="47" t="s">
        <v>1051</v>
      </c>
      <c r="H44" s="47" t="str">
        <f>IF(F44=4,B44&amp;" - "&amp;C44,"")</f>
        <v>01.01.03.18 - C11708</v>
      </c>
      <c r="I44" s="50">
        <v>0</v>
      </c>
      <c r="J44" s="50">
        <f>IF(F44=4,SUMIFS(Tabela1[PAGO],Tabela1[CHAVE],'Controle EAP'!H44),SUMIFS(J:J,$G:$G,'Controle EAP'!G44&amp;"????"))</f>
        <v>0</v>
      </c>
      <c r="K44" s="14">
        <f t="shared" si="0"/>
        <v>0</v>
      </c>
    </row>
    <row r="45" spans="2:11" hidden="1" outlineLevel="3" x14ac:dyDescent="0.25">
      <c r="B45" s="47" t="s">
        <v>891</v>
      </c>
      <c r="C45" s="48" t="s">
        <v>945</v>
      </c>
      <c r="D45" s="49" t="s">
        <v>997</v>
      </c>
      <c r="E45" s="55" t="s">
        <v>1034</v>
      </c>
      <c r="F45" s="47">
        <v>4</v>
      </c>
      <c r="G45" s="47" t="s">
        <v>1052</v>
      </c>
      <c r="H45" s="47" t="str">
        <f>IF(F45=4,B45&amp;" - "&amp;C45,"")</f>
        <v>01.01.03.19 - C11773</v>
      </c>
      <c r="I45" s="50">
        <v>0</v>
      </c>
      <c r="J45" s="50">
        <f>IF(F45=4,SUMIFS(Tabela1[PAGO],Tabela1[CHAVE],'Controle EAP'!H45),SUMIFS(J:J,$G:$G,'Controle EAP'!G45&amp;"????"))</f>
        <v>0</v>
      </c>
      <c r="K45" s="14">
        <f t="shared" si="0"/>
        <v>0</v>
      </c>
    </row>
    <row r="46" spans="2:11" hidden="1" outlineLevel="3" x14ac:dyDescent="0.25">
      <c r="B46" s="47" t="s">
        <v>892</v>
      </c>
      <c r="C46" s="48" t="s">
        <v>946</v>
      </c>
      <c r="D46" s="49" t="s">
        <v>998</v>
      </c>
      <c r="E46" s="55" t="s">
        <v>1034</v>
      </c>
      <c r="F46" s="47">
        <v>4</v>
      </c>
      <c r="G46" s="47" t="s">
        <v>1053</v>
      </c>
      <c r="H46" s="47" t="str">
        <f>IF(F46=4,B46&amp;" - "&amp;C46,"")</f>
        <v>01.01.03.20 - C00669</v>
      </c>
      <c r="I46" s="50">
        <v>0</v>
      </c>
      <c r="J46" s="50">
        <f>IF(F46=4,SUMIFS(Tabela1[PAGO],Tabela1[CHAVE],'Controle EAP'!H46),SUMIFS(J:J,$G:$G,'Controle EAP'!G46&amp;"????"))</f>
        <v>0</v>
      </c>
      <c r="K46" s="14">
        <f t="shared" si="0"/>
        <v>0</v>
      </c>
    </row>
    <row r="47" spans="2:11" hidden="1" outlineLevel="3" x14ac:dyDescent="0.25">
      <c r="B47" s="47" t="s">
        <v>893</v>
      </c>
      <c r="C47" s="48" t="s">
        <v>947</v>
      </c>
      <c r="D47" s="49" t="s">
        <v>999</v>
      </c>
      <c r="E47" s="55" t="s">
        <v>1034</v>
      </c>
      <c r="F47" s="47">
        <v>4</v>
      </c>
      <c r="G47" s="47" t="s">
        <v>1054</v>
      </c>
      <c r="H47" s="47" t="str">
        <f>IF(F47=4,B47&amp;" - "&amp;C47,"")</f>
        <v>01.01.03.21 - CO581</v>
      </c>
      <c r="I47" s="50">
        <v>0</v>
      </c>
      <c r="J47" s="50">
        <f>IF(F47=4,SUMIFS(Tabela1[PAGO],Tabela1[CHAVE],'Controle EAP'!H47),SUMIFS(J:J,$G:$G,'Controle EAP'!G47&amp;"????"))</f>
        <v>0</v>
      </c>
      <c r="K47" s="14">
        <f t="shared" si="0"/>
        <v>0</v>
      </c>
    </row>
    <row r="48" spans="2:11" hidden="1" outlineLevel="3" x14ac:dyDescent="0.25">
      <c r="B48" s="47" t="s">
        <v>894</v>
      </c>
      <c r="C48" s="48" t="s">
        <v>948</v>
      </c>
      <c r="D48" s="49" t="s">
        <v>1000</v>
      </c>
      <c r="E48" s="55" t="s">
        <v>1034</v>
      </c>
      <c r="F48" s="47">
        <v>4</v>
      </c>
      <c r="G48" s="47" t="s">
        <v>1055</v>
      </c>
      <c r="H48" s="47" t="str">
        <f>IF(F48=4,B48&amp;" - "&amp;C48,"")</f>
        <v>01.01.03.22 - CO582</v>
      </c>
      <c r="I48" s="50">
        <v>0</v>
      </c>
      <c r="J48" s="50">
        <f>IF(F48=4,SUMIFS(Tabela1[PAGO],Tabela1[CHAVE],'Controle EAP'!H48),SUMIFS(J:J,$G:$G,'Controle EAP'!G48&amp;"????"))</f>
        <v>0</v>
      </c>
      <c r="K48" s="14">
        <f t="shared" si="0"/>
        <v>0</v>
      </c>
    </row>
    <row r="49" spans="2:11" hidden="1" outlineLevel="3" x14ac:dyDescent="0.25">
      <c r="B49" s="47" t="s">
        <v>895</v>
      </c>
      <c r="C49" s="48" t="s">
        <v>949</v>
      </c>
      <c r="D49" s="49" t="s">
        <v>1001</v>
      </c>
      <c r="E49" s="55" t="s">
        <v>1034</v>
      </c>
      <c r="F49" s="47">
        <v>4</v>
      </c>
      <c r="G49" s="47" t="s">
        <v>1056</v>
      </c>
      <c r="H49" s="47" t="str">
        <f>IF(F49=4,B49&amp;" - "&amp;C49,"")</f>
        <v>01.01.03.23 - CO605</v>
      </c>
      <c r="I49" s="50">
        <v>0</v>
      </c>
      <c r="J49" s="50">
        <f>IF(F49=4,SUMIFS(Tabela1[PAGO],Tabela1[CHAVE],'Controle EAP'!H49),SUMIFS(J:J,$G:$G,'Controle EAP'!G49&amp;"????"))</f>
        <v>0</v>
      </c>
      <c r="K49" s="14">
        <f t="shared" si="0"/>
        <v>0</v>
      </c>
    </row>
    <row r="50" spans="2:11" hidden="1" outlineLevel="3" x14ac:dyDescent="0.25">
      <c r="B50" s="47" t="s">
        <v>896</v>
      </c>
      <c r="C50" s="48" t="s">
        <v>950</v>
      </c>
      <c r="D50" s="49" t="s">
        <v>1002</v>
      </c>
      <c r="E50" s="55" t="s">
        <v>1034</v>
      </c>
      <c r="F50" s="47">
        <v>4</v>
      </c>
      <c r="G50" s="47" t="s">
        <v>1057</v>
      </c>
      <c r="H50" s="47" t="str">
        <f>IF(F50=4,B50&amp;" - "&amp;C50,"")</f>
        <v>01.01.03.24 - CO606</v>
      </c>
      <c r="I50" s="50">
        <v>0</v>
      </c>
      <c r="J50" s="50">
        <f>IF(F50=4,SUMIFS(Tabela1[PAGO],Tabela1[CHAVE],'Controle EAP'!H50),SUMIFS(J:J,$G:$G,'Controle EAP'!G50&amp;"????"))</f>
        <v>0</v>
      </c>
      <c r="K50" s="14">
        <f t="shared" si="0"/>
        <v>0</v>
      </c>
    </row>
    <row r="51" spans="2:11" hidden="1" outlineLevel="3" x14ac:dyDescent="0.25">
      <c r="B51" s="47" t="s">
        <v>897</v>
      </c>
      <c r="C51" s="48" t="s">
        <v>951</v>
      </c>
      <c r="D51" s="49" t="s">
        <v>1003</v>
      </c>
      <c r="E51" s="55" t="s">
        <v>1034</v>
      </c>
      <c r="F51" s="47">
        <v>4</v>
      </c>
      <c r="G51" s="47" t="s">
        <v>1058</v>
      </c>
      <c r="H51" s="47" t="str">
        <f>IF(F51=4,B51&amp;" - "&amp;C51,"")</f>
        <v>01.01.03.25 - CO608</v>
      </c>
      <c r="I51" s="50">
        <v>0</v>
      </c>
      <c r="J51" s="50">
        <f>IF(F51=4,SUMIFS(Tabela1[PAGO],Tabela1[CHAVE],'Controle EAP'!H51),SUMIFS(J:J,$G:$G,'Controle EAP'!G51&amp;"????"))</f>
        <v>0</v>
      </c>
      <c r="K51" s="14">
        <f t="shared" si="0"/>
        <v>0</v>
      </c>
    </row>
    <row r="52" spans="2:11" outlineLevel="2" collapsed="1" x14ac:dyDescent="0.25">
      <c r="B52" s="47" t="s">
        <v>898</v>
      </c>
      <c r="C52" s="48">
        <v>-1</v>
      </c>
      <c r="D52" s="49" t="s">
        <v>1004</v>
      </c>
      <c r="E52" s="55" t="s">
        <v>100</v>
      </c>
      <c r="F52" s="47">
        <v>3</v>
      </c>
      <c r="G52" s="47" t="s">
        <v>177</v>
      </c>
      <c r="H52" s="47" t="str">
        <f>IF(F52=4,B52&amp;" - "&amp;C52,"")</f>
        <v/>
      </c>
      <c r="I52" s="14">
        <f>SUMIFS(I:I,$G:$G,'Controle EAP'!G52&amp;"????")</f>
        <v>0</v>
      </c>
      <c r="J52" s="50">
        <f>IF(F52=4,SUMIFS(Tabela1[PAGO],Tabela1[CHAVE],'Controle EAP'!H52),SUMIFS(J:J,$G:$G,'Controle EAP'!G52&amp;"????"))</f>
        <v>0</v>
      </c>
      <c r="K52" s="14">
        <f t="shared" si="0"/>
        <v>0</v>
      </c>
    </row>
    <row r="53" spans="2:11" hidden="1" outlineLevel="3" x14ac:dyDescent="0.25">
      <c r="B53" s="47" t="s">
        <v>899</v>
      </c>
      <c r="C53" s="48" t="s">
        <v>952</v>
      </c>
      <c r="D53" s="49" t="s">
        <v>1005</v>
      </c>
      <c r="E53" s="55" t="s">
        <v>1034</v>
      </c>
      <c r="F53" s="47">
        <v>4</v>
      </c>
      <c r="G53" s="47" t="s">
        <v>181</v>
      </c>
      <c r="H53" s="47" t="str">
        <f>IF(F53=4,B53&amp;" - "&amp;C53,"")</f>
        <v>01.01.04.01 - CO614</v>
      </c>
      <c r="I53" s="50">
        <v>0</v>
      </c>
      <c r="J53" s="50">
        <f>IF(F53=4,SUMIFS(Tabela1[PAGO],Tabela1[CHAVE],'Controle EAP'!H53),SUMIFS(J:J,$G:$G,'Controle EAP'!G53&amp;"????"))</f>
        <v>0</v>
      </c>
      <c r="K53" s="14">
        <f t="shared" si="0"/>
        <v>0</v>
      </c>
    </row>
    <row r="54" spans="2:11" hidden="1" outlineLevel="3" x14ac:dyDescent="0.25">
      <c r="B54" s="47" t="s">
        <v>864</v>
      </c>
      <c r="C54" s="48" t="s">
        <v>953</v>
      </c>
      <c r="D54" s="49" t="s">
        <v>1006</v>
      </c>
      <c r="E54" s="55" t="s">
        <v>1034</v>
      </c>
      <c r="F54" s="47">
        <v>4</v>
      </c>
      <c r="G54" s="47" t="s">
        <v>185</v>
      </c>
      <c r="H54" s="47" t="str">
        <f>IF(F54=4,B54&amp;" - "&amp;C54,"")</f>
        <v>01.01.04.02 - CO454</v>
      </c>
      <c r="I54" s="50">
        <v>0</v>
      </c>
      <c r="J54" s="50">
        <f>IF(F54=4,SUMIFS(Tabela1[PAGO],Tabela1[CHAVE],'Controle EAP'!H54),SUMIFS(J:J,$G:$G,'Controle EAP'!G54&amp;"????"))</f>
        <v>0</v>
      </c>
      <c r="K54" s="14">
        <f t="shared" si="0"/>
        <v>0</v>
      </c>
    </row>
    <row r="55" spans="2:11" hidden="1" outlineLevel="3" x14ac:dyDescent="0.25">
      <c r="B55" s="47" t="s">
        <v>900</v>
      </c>
      <c r="C55" s="48" t="s">
        <v>954</v>
      </c>
      <c r="D55" s="49" t="s">
        <v>1007</v>
      </c>
      <c r="E55" s="55" t="s">
        <v>1034</v>
      </c>
      <c r="F55" s="47">
        <v>4</v>
      </c>
      <c r="G55" s="47" t="s">
        <v>1059</v>
      </c>
      <c r="H55" s="47" t="str">
        <f>IF(F55=4,B55&amp;" - "&amp;C55,"")</f>
        <v>01.01.04.03 - CO616</v>
      </c>
      <c r="I55" s="50">
        <v>0</v>
      </c>
      <c r="J55" s="50">
        <f>IF(F55=4,SUMIFS(Tabela1[PAGO],Tabela1[CHAVE],'Controle EAP'!H55),SUMIFS(J:J,$G:$G,'Controle EAP'!G55&amp;"????"))</f>
        <v>0</v>
      </c>
      <c r="K55" s="14">
        <f t="shared" si="0"/>
        <v>0</v>
      </c>
    </row>
    <row r="56" spans="2:11" hidden="1" outlineLevel="3" x14ac:dyDescent="0.25">
      <c r="B56" s="47" t="s">
        <v>901</v>
      </c>
      <c r="C56" s="48" t="s">
        <v>955</v>
      </c>
      <c r="D56" s="49" t="s">
        <v>1008</v>
      </c>
      <c r="E56" s="55" t="s">
        <v>1034</v>
      </c>
      <c r="F56" s="47">
        <v>4</v>
      </c>
      <c r="G56" s="47" t="s">
        <v>1060</v>
      </c>
      <c r="H56" s="47" t="str">
        <f>IF(F56=4,B56&amp;" - "&amp;C56,"")</f>
        <v>01.01.04.04 - CO618</v>
      </c>
      <c r="I56" s="50">
        <v>0</v>
      </c>
      <c r="J56" s="50">
        <f>IF(F56=4,SUMIFS(Tabela1[PAGO],Tabela1[CHAVE],'Controle EAP'!H56),SUMIFS(J:J,$G:$G,'Controle EAP'!G56&amp;"????"))</f>
        <v>0</v>
      </c>
      <c r="K56" s="14">
        <f t="shared" si="0"/>
        <v>0</v>
      </c>
    </row>
    <row r="57" spans="2:11" hidden="1" outlineLevel="3" x14ac:dyDescent="0.25">
      <c r="B57" s="47" t="s">
        <v>902</v>
      </c>
      <c r="C57" s="48" t="s">
        <v>956</v>
      </c>
      <c r="D57" s="49" t="s">
        <v>1009</v>
      </c>
      <c r="E57" s="55" t="s">
        <v>1034</v>
      </c>
      <c r="F57" s="47">
        <v>4</v>
      </c>
      <c r="G57" s="47" t="s">
        <v>1061</v>
      </c>
      <c r="H57" s="47" t="str">
        <f>IF(F57=4,B57&amp;" - "&amp;C57,"")</f>
        <v>01.01.04.05 - CO650</v>
      </c>
      <c r="I57" s="50">
        <v>0</v>
      </c>
      <c r="J57" s="50">
        <f>IF(F57=4,SUMIFS(Tabela1[PAGO],Tabela1[CHAVE],'Controle EAP'!H57),SUMIFS(J:J,$G:$G,'Controle EAP'!G57&amp;"????"))</f>
        <v>0</v>
      </c>
      <c r="K57" s="14">
        <f t="shared" si="0"/>
        <v>0</v>
      </c>
    </row>
    <row r="58" spans="2:11" hidden="1" outlineLevel="3" x14ac:dyDescent="0.25">
      <c r="B58" s="47" t="s">
        <v>903</v>
      </c>
      <c r="C58" s="48" t="s">
        <v>957</v>
      </c>
      <c r="D58" s="49" t="s">
        <v>1010</v>
      </c>
      <c r="E58" s="55" t="s">
        <v>1034</v>
      </c>
      <c r="F58" s="47">
        <v>4</v>
      </c>
      <c r="G58" s="47" t="s">
        <v>1062</v>
      </c>
      <c r="H58" s="47" t="str">
        <f>IF(F58=4,B58&amp;" - "&amp;C58,"")</f>
        <v>01.01.04.06 - C12370</v>
      </c>
      <c r="I58" s="50">
        <v>0</v>
      </c>
      <c r="J58" s="50">
        <f>IF(F58=4,SUMIFS(Tabela1[PAGO],Tabela1[CHAVE],'Controle EAP'!H58),SUMIFS(J:J,$G:$G,'Controle EAP'!G58&amp;"????"))</f>
        <v>0</v>
      </c>
      <c r="K58" s="14">
        <f t="shared" si="0"/>
        <v>0</v>
      </c>
    </row>
    <row r="59" spans="2:11" hidden="1" outlineLevel="3" x14ac:dyDescent="0.25">
      <c r="B59" s="47" t="s">
        <v>904</v>
      </c>
      <c r="C59" s="48" t="s">
        <v>958</v>
      </c>
      <c r="D59" s="49" t="s">
        <v>1011</v>
      </c>
      <c r="E59" s="55" t="s">
        <v>1034</v>
      </c>
      <c r="F59" s="47">
        <v>4</v>
      </c>
      <c r="G59" s="47" t="s">
        <v>1063</v>
      </c>
      <c r="H59" s="47" t="str">
        <f>IF(F59=4,B59&amp;" - "&amp;C59,"")</f>
        <v>01.01.04.07 - C15076</v>
      </c>
      <c r="I59" s="50">
        <v>0</v>
      </c>
      <c r="J59" s="50">
        <f>IF(F59=4,SUMIFS(Tabela1[PAGO],Tabela1[CHAVE],'Controle EAP'!H59),SUMIFS(J:J,$G:$G,'Controle EAP'!G59&amp;"????"))</f>
        <v>0</v>
      </c>
      <c r="K59" s="14">
        <f t="shared" si="0"/>
        <v>0</v>
      </c>
    </row>
    <row r="60" spans="2:11" hidden="1" outlineLevel="3" x14ac:dyDescent="0.25">
      <c r="B60" s="47" t="s">
        <v>905</v>
      </c>
      <c r="C60" s="48" t="s">
        <v>959</v>
      </c>
      <c r="D60" s="49" t="s">
        <v>1012</v>
      </c>
      <c r="E60" s="55" t="s">
        <v>1034</v>
      </c>
      <c r="F60" s="47">
        <v>4</v>
      </c>
      <c r="G60" s="47" t="s">
        <v>1064</v>
      </c>
      <c r="H60" s="47" t="str">
        <f>IF(F60=4,B60&amp;" - "&amp;C60,"")</f>
        <v>01.01.04.08 - C19701</v>
      </c>
      <c r="I60" s="50">
        <v>0</v>
      </c>
      <c r="J60" s="50">
        <f>IF(F60=4,SUMIFS(Tabela1[PAGO],Tabela1[CHAVE],'Controle EAP'!H60),SUMIFS(J:J,$G:$G,'Controle EAP'!G60&amp;"????"))</f>
        <v>0</v>
      </c>
      <c r="K60" s="14">
        <f t="shared" si="0"/>
        <v>0</v>
      </c>
    </row>
    <row r="61" spans="2:11" hidden="1" outlineLevel="3" x14ac:dyDescent="0.25">
      <c r="B61" s="47" t="s">
        <v>906</v>
      </c>
      <c r="C61" s="48" t="s">
        <v>960</v>
      </c>
      <c r="D61" s="49" t="s">
        <v>1013</v>
      </c>
      <c r="E61" s="55" t="s">
        <v>1034</v>
      </c>
      <c r="F61" s="47">
        <v>4</v>
      </c>
      <c r="G61" s="47" t="s">
        <v>1065</v>
      </c>
      <c r="H61" s="47" t="str">
        <f>IF(F61=4,B61&amp;" - "&amp;C61,"")</f>
        <v>01.01.04.09 - C19642</v>
      </c>
      <c r="I61" s="50">
        <v>0</v>
      </c>
      <c r="J61" s="50">
        <f>IF(F61=4,SUMIFS(Tabela1[PAGO],Tabela1[CHAVE],'Controle EAP'!H61),SUMIFS(J:J,$G:$G,'Controle EAP'!G61&amp;"????"))</f>
        <v>0</v>
      </c>
      <c r="K61" s="14">
        <f t="shared" si="0"/>
        <v>0</v>
      </c>
    </row>
    <row r="62" spans="2:11" hidden="1" outlineLevel="3" x14ac:dyDescent="0.25">
      <c r="B62" s="47" t="s">
        <v>907</v>
      </c>
      <c r="C62" s="48" t="s">
        <v>961</v>
      </c>
      <c r="D62" s="49" t="s">
        <v>1014</v>
      </c>
      <c r="E62" s="55" t="s">
        <v>1034</v>
      </c>
      <c r="F62" s="47">
        <v>4</v>
      </c>
      <c r="G62" s="47" t="s">
        <v>1066</v>
      </c>
      <c r="H62" s="47" t="str">
        <f>IF(F62=4,B62&amp;" - "&amp;C62,"")</f>
        <v>01.01.04.10 - CO639</v>
      </c>
      <c r="I62" s="50">
        <v>0</v>
      </c>
      <c r="J62" s="50">
        <f>IF(F62=4,SUMIFS(Tabela1[PAGO],Tabela1[CHAVE],'Controle EAP'!H62),SUMIFS(J:J,$G:$G,'Controle EAP'!G62&amp;"????"))</f>
        <v>0</v>
      </c>
      <c r="K62" s="14">
        <f t="shared" si="0"/>
        <v>0</v>
      </c>
    </row>
    <row r="63" spans="2:11" hidden="1" outlineLevel="3" x14ac:dyDescent="0.25">
      <c r="B63" s="47" t="s">
        <v>908</v>
      </c>
      <c r="C63" s="48" t="s">
        <v>962</v>
      </c>
      <c r="D63" s="49" t="s">
        <v>1015</v>
      </c>
      <c r="E63" s="55" t="s">
        <v>1034</v>
      </c>
      <c r="F63" s="47">
        <v>4</v>
      </c>
      <c r="G63" s="47" t="s">
        <v>1067</v>
      </c>
      <c r="H63" s="47" t="str">
        <f>IF(F63=4,B63&amp;" - "&amp;C63,"")</f>
        <v>01.01.04.11 - CO329</v>
      </c>
      <c r="I63" s="50">
        <v>0</v>
      </c>
      <c r="J63" s="50">
        <f>IF(F63=4,SUMIFS(Tabela1[PAGO],Tabela1[CHAVE],'Controle EAP'!H63),SUMIFS(J:J,$G:$G,'Controle EAP'!G63&amp;"????"))</f>
        <v>0</v>
      </c>
      <c r="K63" s="14">
        <f t="shared" si="0"/>
        <v>0</v>
      </c>
    </row>
    <row r="64" spans="2:11" hidden="1" outlineLevel="3" x14ac:dyDescent="0.25">
      <c r="B64" s="47" t="s">
        <v>909</v>
      </c>
      <c r="C64" s="48" t="s">
        <v>963</v>
      </c>
      <c r="D64" s="49" t="s">
        <v>1016</v>
      </c>
      <c r="E64" s="55" t="s">
        <v>1034</v>
      </c>
      <c r="F64" s="47">
        <v>4</v>
      </c>
      <c r="G64" s="47" t="s">
        <v>1068</v>
      </c>
      <c r="H64" s="47" t="str">
        <f>IF(F64=4,B64&amp;" - "&amp;C64,"")</f>
        <v>01.01.04.12 - C19760</v>
      </c>
      <c r="I64" s="50">
        <v>0</v>
      </c>
      <c r="J64" s="50">
        <f>IF(F64=4,SUMIFS(Tabela1[PAGO],Tabela1[CHAVE],'Controle EAP'!H64),SUMIFS(J:J,$G:$G,'Controle EAP'!G64&amp;"????"))</f>
        <v>0</v>
      </c>
      <c r="K64" s="14">
        <f t="shared" si="0"/>
        <v>0</v>
      </c>
    </row>
    <row r="65" spans="2:11" hidden="1" outlineLevel="3" x14ac:dyDescent="0.25">
      <c r="B65" s="47" t="s">
        <v>910</v>
      </c>
      <c r="C65" s="48" t="s">
        <v>964</v>
      </c>
      <c r="D65" s="49" t="s">
        <v>1017</v>
      </c>
      <c r="E65" s="55" t="s">
        <v>1034</v>
      </c>
      <c r="F65" s="47">
        <v>4</v>
      </c>
      <c r="G65" s="47" t="s">
        <v>1069</v>
      </c>
      <c r="H65" s="47" t="str">
        <f>IF(F65=4,B65&amp;" - "&amp;C65,"")</f>
        <v>01.01.04.13 - CO328</v>
      </c>
      <c r="I65" s="50">
        <v>0</v>
      </c>
      <c r="J65" s="50">
        <f>IF(F65=4,SUMIFS(Tabela1[PAGO],Tabela1[CHAVE],'Controle EAP'!H65),SUMIFS(J:J,$G:$G,'Controle EAP'!G65&amp;"????"))</f>
        <v>0</v>
      </c>
      <c r="K65" s="14">
        <f t="shared" si="0"/>
        <v>0</v>
      </c>
    </row>
    <row r="66" spans="2:11" hidden="1" outlineLevel="3" x14ac:dyDescent="0.25">
      <c r="B66" s="47" t="s">
        <v>911</v>
      </c>
      <c r="C66" s="48" t="s">
        <v>965</v>
      </c>
      <c r="D66" s="49" t="s">
        <v>1018</v>
      </c>
      <c r="E66" s="55" t="s">
        <v>1034</v>
      </c>
      <c r="F66" s="47">
        <v>4</v>
      </c>
      <c r="G66" s="47" t="s">
        <v>1070</v>
      </c>
      <c r="H66" s="47" t="str">
        <f>IF(F66=4,B66&amp;" - "&amp;C66,"")</f>
        <v>01.01.04.14 - CO327</v>
      </c>
      <c r="I66" s="50">
        <v>0</v>
      </c>
      <c r="J66" s="50">
        <f>IF(F66=4,SUMIFS(Tabela1[PAGO],Tabela1[CHAVE],'Controle EAP'!H66),SUMIFS(J:J,$G:$G,'Controle EAP'!G66&amp;"????"))</f>
        <v>0</v>
      </c>
      <c r="K66" s="14">
        <f t="shared" si="0"/>
        <v>0</v>
      </c>
    </row>
    <row r="67" spans="2:11" hidden="1" outlineLevel="3" x14ac:dyDescent="0.25">
      <c r="B67" s="47" t="s">
        <v>912</v>
      </c>
      <c r="C67" s="48" t="s">
        <v>966</v>
      </c>
      <c r="D67" s="49" t="s">
        <v>1019</v>
      </c>
      <c r="E67" s="55" t="s">
        <v>1034</v>
      </c>
      <c r="F67" s="47">
        <v>4</v>
      </c>
      <c r="G67" s="47" t="s">
        <v>1071</v>
      </c>
      <c r="H67" s="47" t="str">
        <f>IF(F67=4,B67&amp;" - "&amp;C67,"")</f>
        <v>01.01.04.15 - C00673</v>
      </c>
      <c r="I67" s="50">
        <v>0</v>
      </c>
      <c r="J67" s="50">
        <f>IF(F67=4,SUMIFS(Tabela1[PAGO],Tabela1[CHAVE],'Controle EAP'!H67),SUMIFS(J:J,$G:$G,'Controle EAP'!G67&amp;"????"))</f>
        <v>0</v>
      </c>
      <c r="K67" s="14">
        <f t="shared" si="0"/>
        <v>0</v>
      </c>
    </row>
    <row r="68" spans="2:11" hidden="1" outlineLevel="3" x14ac:dyDescent="0.25">
      <c r="B68" s="47" t="s">
        <v>913</v>
      </c>
      <c r="C68" s="48" t="s">
        <v>967</v>
      </c>
      <c r="D68" s="49" t="s">
        <v>1020</v>
      </c>
      <c r="E68" s="55" t="s">
        <v>1034</v>
      </c>
      <c r="F68" s="47">
        <v>4</v>
      </c>
      <c r="G68" s="47" t="s">
        <v>1072</v>
      </c>
      <c r="H68" s="47" t="str">
        <f>IF(F68=4,B68&amp;" - "&amp;C68,"")</f>
        <v>01.01.04.16 - CO644</v>
      </c>
      <c r="I68" s="50">
        <v>0</v>
      </c>
      <c r="J68" s="50">
        <f>IF(F68=4,SUMIFS(Tabela1[PAGO],Tabela1[CHAVE],'Controle EAP'!H68),SUMIFS(J:J,$G:$G,'Controle EAP'!G68&amp;"????"))</f>
        <v>0</v>
      </c>
      <c r="K68" s="14">
        <f t="shared" si="0"/>
        <v>0</v>
      </c>
    </row>
    <row r="69" spans="2:11" hidden="1" outlineLevel="3" x14ac:dyDescent="0.25">
      <c r="B69" s="47" t="s">
        <v>914</v>
      </c>
      <c r="C69" s="48" t="s">
        <v>968</v>
      </c>
      <c r="D69" s="49" t="s">
        <v>1021</v>
      </c>
      <c r="E69" s="55" t="s">
        <v>1034</v>
      </c>
      <c r="F69" s="47">
        <v>4</v>
      </c>
      <c r="G69" s="47" t="s">
        <v>1073</v>
      </c>
      <c r="H69" s="47" t="str">
        <f>IF(F69=4,B69&amp;" - "&amp;C69,"")</f>
        <v>01.01.04.17 - CO645</v>
      </c>
      <c r="I69" s="50">
        <v>0</v>
      </c>
      <c r="J69" s="50">
        <f>IF(F69=4,SUMIFS(Tabela1[PAGO],Tabela1[CHAVE],'Controle EAP'!H69),SUMIFS(J:J,$G:$G,'Controle EAP'!G69&amp;"????"))</f>
        <v>0</v>
      </c>
      <c r="K69" s="14">
        <f t="shared" si="0"/>
        <v>0</v>
      </c>
    </row>
    <row r="70" spans="2:11" hidden="1" outlineLevel="3" x14ac:dyDescent="0.25">
      <c r="B70" s="47" t="s">
        <v>915</v>
      </c>
      <c r="C70" s="48" t="s">
        <v>969</v>
      </c>
      <c r="D70" s="49" t="s">
        <v>1022</v>
      </c>
      <c r="E70" s="55" t="s">
        <v>1034</v>
      </c>
      <c r="F70" s="47">
        <v>4</v>
      </c>
      <c r="G70" s="47" t="s">
        <v>1074</v>
      </c>
      <c r="H70" s="47" t="str">
        <f>IF(F70=4,B70&amp;" - "&amp;C70,"")</f>
        <v>01.01.04.18 - CO654</v>
      </c>
      <c r="I70" s="50">
        <v>0</v>
      </c>
      <c r="J70" s="50">
        <f>IF(F70=4,SUMIFS(Tabela1[PAGO],Tabela1[CHAVE],'Controle EAP'!H70),SUMIFS(J:J,$G:$G,'Controle EAP'!G70&amp;"????"))</f>
        <v>0</v>
      </c>
      <c r="K70" s="14">
        <f t="shared" si="0"/>
        <v>0</v>
      </c>
    </row>
    <row r="71" spans="2:11" hidden="1" outlineLevel="3" x14ac:dyDescent="0.25">
      <c r="B71" s="47" t="s">
        <v>916</v>
      </c>
      <c r="C71" s="48" t="s">
        <v>970</v>
      </c>
      <c r="D71" s="49" t="s">
        <v>1023</v>
      </c>
      <c r="E71" s="55" t="s">
        <v>1034</v>
      </c>
      <c r="F71" s="47">
        <v>4</v>
      </c>
      <c r="G71" s="47" t="s">
        <v>1075</v>
      </c>
      <c r="H71" s="47" t="str">
        <f>IF(F71=4,B71&amp;" - "&amp;C71,"")</f>
        <v>01.01.04.19 - CO625</v>
      </c>
      <c r="I71" s="50">
        <v>0</v>
      </c>
      <c r="J71" s="50">
        <f>IF(F71=4,SUMIFS(Tabela1[PAGO],Tabela1[CHAVE],'Controle EAP'!H71),SUMIFS(J:J,$G:$G,'Controle EAP'!G71&amp;"????"))</f>
        <v>0</v>
      </c>
      <c r="K71" s="14">
        <f t="shared" ref="K71:K134" si="1">I71-J71</f>
        <v>0</v>
      </c>
    </row>
    <row r="72" spans="2:11" hidden="1" outlineLevel="3" x14ac:dyDescent="0.25">
      <c r="B72" s="47" t="s">
        <v>917</v>
      </c>
      <c r="C72" s="48" t="s">
        <v>971</v>
      </c>
      <c r="D72" s="49" t="s">
        <v>1024</v>
      </c>
      <c r="E72" s="55" t="s">
        <v>1034</v>
      </c>
      <c r="F72" s="47">
        <v>4</v>
      </c>
      <c r="G72" s="47" t="s">
        <v>1076</v>
      </c>
      <c r="H72" s="47" t="str">
        <f>IF(F72=4,B72&amp;" - "&amp;C72,"")</f>
        <v>01.01.04.20 - C19682</v>
      </c>
      <c r="I72" s="50">
        <v>0</v>
      </c>
      <c r="J72" s="50">
        <f>IF(F72=4,SUMIFS(Tabela1[PAGO],Tabela1[CHAVE],'Controle EAP'!H72),SUMIFS(J:J,$G:$G,'Controle EAP'!G72&amp;"????"))</f>
        <v>0</v>
      </c>
      <c r="K72" s="14">
        <f t="shared" si="1"/>
        <v>0</v>
      </c>
    </row>
    <row r="73" spans="2:11" hidden="1" outlineLevel="3" x14ac:dyDescent="0.25">
      <c r="B73" s="47" t="s">
        <v>918</v>
      </c>
      <c r="C73" s="48" t="s">
        <v>972</v>
      </c>
      <c r="D73" s="49" t="s">
        <v>1025</v>
      </c>
      <c r="E73" s="55" t="s">
        <v>1034</v>
      </c>
      <c r="F73" s="47">
        <v>4</v>
      </c>
      <c r="G73" s="47" t="s">
        <v>1077</v>
      </c>
      <c r="H73" s="47" t="str">
        <f>IF(F73=4,B73&amp;" - "&amp;C73,"")</f>
        <v>01.01.04.21 - CO626</v>
      </c>
      <c r="I73" s="50">
        <v>0</v>
      </c>
      <c r="J73" s="50">
        <f>IF(F73=4,SUMIFS(Tabela1[PAGO],Tabela1[CHAVE],'Controle EAP'!H73),SUMIFS(J:J,$G:$G,'Controle EAP'!G73&amp;"????"))</f>
        <v>0</v>
      </c>
      <c r="K73" s="14">
        <f t="shared" si="1"/>
        <v>0</v>
      </c>
    </row>
    <row r="74" spans="2:11" hidden="1" outlineLevel="3" x14ac:dyDescent="0.25">
      <c r="B74" s="47" t="s">
        <v>919</v>
      </c>
      <c r="C74" s="48" t="s">
        <v>973</v>
      </c>
      <c r="D74" s="49" t="s">
        <v>1026</v>
      </c>
      <c r="E74" s="55" t="s">
        <v>1034</v>
      </c>
      <c r="F74" s="47">
        <v>4</v>
      </c>
      <c r="G74" s="47" t="s">
        <v>1078</v>
      </c>
      <c r="H74" s="47" t="str">
        <f>IF(F74=4,B74&amp;" - "&amp;C74,"")</f>
        <v>01.01.04.22 - C00380</v>
      </c>
      <c r="I74" s="50">
        <v>0</v>
      </c>
      <c r="J74" s="50">
        <f>IF(F74=4,SUMIFS(Tabela1[PAGO],Tabela1[CHAVE],'Controle EAP'!H74),SUMIFS(J:J,$G:$G,'Controle EAP'!G74&amp;"????"))</f>
        <v>0</v>
      </c>
      <c r="K74" s="14">
        <f t="shared" si="1"/>
        <v>0</v>
      </c>
    </row>
    <row r="75" spans="2:11" hidden="1" outlineLevel="3" x14ac:dyDescent="0.25">
      <c r="B75" s="47" t="s">
        <v>920</v>
      </c>
      <c r="C75" s="48" t="s">
        <v>974</v>
      </c>
      <c r="D75" s="49" t="s">
        <v>1027</v>
      </c>
      <c r="E75" s="55" t="s">
        <v>1034</v>
      </c>
      <c r="F75" s="47">
        <v>4</v>
      </c>
      <c r="G75" s="47" t="s">
        <v>1079</v>
      </c>
      <c r="H75" s="47" t="str">
        <f>IF(F75=4,B75&amp;" - "&amp;C75,"")</f>
        <v>01.01.04.23 - CO349</v>
      </c>
      <c r="I75" s="50">
        <v>0</v>
      </c>
      <c r="J75" s="50">
        <f>IF(F75=4,SUMIFS(Tabela1[PAGO],Tabela1[CHAVE],'Controle EAP'!H75),SUMIFS(J:J,$G:$G,'Controle EAP'!G75&amp;"????"))</f>
        <v>0</v>
      </c>
      <c r="K75" s="14">
        <f t="shared" si="1"/>
        <v>0</v>
      </c>
    </row>
    <row r="76" spans="2:11" hidden="1" outlineLevel="3" x14ac:dyDescent="0.25">
      <c r="B76" s="47" t="s">
        <v>921</v>
      </c>
      <c r="C76" s="48" t="s">
        <v>975</v>
      </c>
      <c r="D76" s="49" t="s">
        <v>1028</v>
      </c>
      <c r="E76" s="55" t="s">
        <v>1034</v>
      </c>
      <c r="F76" s="47">
        <v>4</v>
      </c>
      <c r="G76" s="47" t="s">
        <v>1080</v>
      </c>
      <c r="H76" s="47" t="str">
        <f>IF(F76=4,B76&amp;" - "&amp;C76,"")</f>
        <v>01.01.04.24 - C18717</v>
      </c>
      <c r="I76" s="50">
        <v>0</v>
      </c>
      <c r="J76" s="50">
        <f>IF(F76=4,SUMIFS(Tabela1[PAGO],Tabela1[CHAVE],'Controle EAP'!H76),SUMIFS(J:J,$G:$G,'Controle EAP'!G76&amp;"????"))</f>
        <v>0</v>
      </c>
      <c r="K76" s="14">
        <f t="shared" si="1"/>
        <v>0</v>
      </c>
    </row>
    <row r="77" spans="2:11" hidden="1" outlineLevel="3" x14ac:dyDescent="0.25">
      <c r="B77" s="47" t="s">
        <v>922</v>
      </c>
      <c r="C77" s="48" t="s">
        <v>962</v>
      </c>
      <c r="D77" s="49" t="s">
        <v>1015</v>
      </c>
      <c r="E77" s="55" t="s">
        <v>1034</v>
      </c>
      <c r="F77" s="47">
        <v>4</v>
      </c>
      <c r="G77" s="47" t="s">
        <v>1081</v>
      </c>
      <c r="H77" s="47" t="str">
        <f>IF(F77=4,B77&amp;" - "&amp;C77,"")</f>
        <v>01.01.04.25 - CO329</v>
      </c>
      <c r="I77" s="50">
        <v>0</v>
      </c>
      <c r="J77" s="50">
        <f>IF(F77=4,SUMIFS(Tabela1[PAGO],Tabela1[CHAVE],'Controle EAP'!H77),SUMIFS(J:J,$G:$G,'Controle EAP'!G77&amp;"????"))</f>
        <v>0</v>
      </c>
      <c r="K77" s="14">
        <f t="shared" si="1"/>
        <v>0</v>
      </c>
    </row>
    <row r="78" spans="2:11" hidden="1" outlineLevel="3" x14ac:dyDescent="0.25">
      <c r="B78" s="47" t="s">
        <v>923</v>
      </c>
      <c r="C78" s="48" t="s">
        <v>976</v>
      </c>
      <c r="D78" s="49" t="s">
        <v>1029</v>
      </c>
      <c r="E78" s="55" t="s">
        <v>1034</v>
      </c>
      <c r="F78" s="47">
        <v>4</v>
      </c>
      <c r="G78" s="47" t="s">
        <v>1082</v>
      </c>
      <c r="H78" s="47" t="str">
        <f>IF(F78=4,B78&amp;" - "&amp;C78,"")</f>
        <v>01.01.04.26 - C15694</v>
      </c>
      <c r="I78" s="50">
        <v>0</v>
      </c>
      <c r="J78" s="50">
        <f>IF(F78=4,SUMIFS(Tabela1[PAGO],Tabela1[CHAVE],'Controle EAP'!H78),SUMIFS(J:J,$G:$G,'Controle EAP'!G78&amp;"????"))</f>
        <v>0</v>
      </c>
      <c r="K78" s="14">
        <f t="shared" si="1"/>
        <v>0</v>
      </c>
    </row>
    <row r="79" spans="2:11" outlineLevel="2" collapsed="1" x14ac:dyDescent="0.25">
      <c r="B79" s="47" t="s">
        <v>924</v>
      </c>
      <c r="C79" s="48">
        <v>-1</v>
      </c>
      <c r="D79" s="49" t="s">
        <v>1030</v>
      </c>
      <c r="E79" s="55" t="s">
        <v>100</v>
      </c>
      <c r="F79" s="47">
        <v>3</v>
      </c>
      <c r="G79" s="47" t="s">
        <v>188</v>
      </c>
      <c r="H79" s="47" t="str">
        <f>IF(F79=4,B79&amp;" - "&amp;C79,"")</f>
        <v/>
      </c>
      <c r="I79" s="14">
        <f>SUMIFS(I:I,$G:$G,'Controle EAP'!G79&amp;"????")</f>
        <v>0</v>
      </c>
      <c r="J79" s="50">
        <f>IF(F79=4,SUMIFS(Tabela1[PAGO],Tabela1[CHAVE],'Controle EAP'!H79),SUMIFS(J:J,$G:$G,'Controle EAP'!G79&amp;"????"))</f>
        <v>0</v>
      </c>
      <c r="K79" s="14">
        <f t="shared" si="1"/>
        <v>0</v>
      </c>
    </row>
    <row r="80" spans="2:11" hidden="1" outlineLevel="3" x14ac:dyDescent="0.25">
      <c r="B80" s="47" t="s">
        <v>925</v>
      </c>
      <c r="C80" s="48" t="s">
        <v>977</v>
      </c>
      <c r="D80" s="49" t="s">
        <v>1031</v>
      </c>
      <c r="E80" s="55" t="s">
        <v>1034</v>
      </c>
      <c r="F80" s="47">
        <v>4</v>
      </c>
      <c r="G80" s="47" t="s">
        <v>192</v>
      </c>
      <c r="H80" s="47" t="str">
        <f>IF(F80=4,B80&amp;" - "&amp;C80,"")</f>
        <v>01.01.05.01 - C17654</v>
      </c>
      <c r="I80" s="50">
        <v>0</v>
      </c>
      <c r="J80" s="50">
        <f>IF(F80=4,SUMIFS(Tabela1[PAGO],Tabela1[CHAVE],'Controle EAP'!H80),SUMIFS(J:J,$G:$G,'Controle EAP'!G80&amp;"????"))</f>
        <v>0</v>
      </c>
      <c r="K80" s="14">
        <f t="shared" si="1"/>
        <v>0</v>
      </c>
    </row>
    <row r="81" spans="2:11" hidden="1" outlineLevel="3" x14ac:dyDescent="0.25">
      <c r="B81" s="47" t="s">
        <v>926</v>
      </c>
      <c r="C81" s="48" t="s">
        <v>978</v>
      </c>
      <c r="D81" s="49" t="s">
        <v>1032</v>
      </c>
      <c r="E81" s="55" t="s">
        <v>1034</v>
      </c>
      <c r="F81" s="47">
        <v>4</v>
      </c>
      <c r="G81" s="47" t="s">
        <v>196</v>
      </c>
      <c r="H81" s="47" t="str">
        <f>IF(F81=4,B81&amp;" - "&amp;C81,"")</f>
        <v>01.01.05.02 - C17528</v>
      </c>
      <c r="I81" s="50">
        <v>0</v>
      </c>
      <c r="J81" s="50">
        <f>IF(F81=4,SUMIFS(Tabela1[PAGO],Tabela1[CHAVE],'Controle EAP'!H81),SUMIFS(J:J,$G:$G,'Controle EAP'!G81&amp;"????"))</f>
        <v>0</v>
      </c>
      <c r="K81" s="14">
        <f t="shared" si="1"/>
        <v>0</v>
      </c>
    </row>
    <row r="82" spans="2:11" outlineLevel="1" x14ac:dyDescent="0.25">
      <c r="B82" s="47" t="s">
        <v>927</v>
      </c>
      <c r="C82" s="48">
        <v>-1</v>
      </c>
      <c r="D82" s="49" t="s">
        <v>1033</v>
      </c>
      <c r="E82" s="55" t="s">
        <v>100</v>
      </c>
      <c r="F82" s="47">
        <v>2</v>
      </c>
      <c r="G82" s="47" t="s">
        <v>1083</v>
      </c>
      <c r="H82" s="47" t="str">
        <f>IF(F82=4,B82&amp;" - "&amp;C82,"")</f>
        <v/>
      </c>
      <c r="I82" s="14">
        <f>SUMIFS(I:I,$G:$G,'Controle EAP'!G82&amp;"????")</f>
        <v>0</v>
      </c>
      <c r="J82" s="50">
        <f>IF(F82=4,SUMIFS(Tabela1[PAGO],Tabela1[CHAVE],'Controle EAP'!H82),SUMIFS(J:J,$G:$G,'Controle EAP'!G82&amp;"????"))</f>
        <v>0</v>
      </c>
      <c r="K82" s="14">
        <f t="shared" si="1"/>
        <v>0</v>
      </c>
    </row>
    <row r="83" spans="2:11" outlineLevel="2" collapsed="1" x14ac:dyDescent="0.25">
      <c r="B83" s="47" t="s">
        <v>169</v>
      </c>
      <c r="C83" s="48">
        <v>-1</v>
      </c>
      <c r="D83" s="49" t="s">
        <v>170</v>
      </c>
      <c r="E83" s="55" t="s">
        <v>100</v>
      </c>
      <c r="F83" s="47">
        <v>3</v>
      </c>
      <c r="G83" s="47" t="s">
        <v>1084</v>
      </c>
      <c r="H83" s="47" t="str">
        <f>IF(F83=4,B83&amp;" - "&amp;C83,"")</f>
        <v/>
      </c>
      <c r="I83" s="14">
        <f>SUMIFS(I:I,$G:$G,'Controle EAP'!G83&amp;"????")</f>
        <v>0</v>
      </c>
      <c r="J83" s="50">
        <f>IF(F83=4,SUMIFS(Tabela1[PAGO],Tabela1[CHAVE],'Controle EAP'!H83),SUMIFS(J:J,$G:$G,'Controle EAP'!G83&amp;"????"))</f>
        <v>0</v>
      </c>
      <c r="K83" s="14">
        <f t="shared" si="1"/>
        <v>0</v>
      </c>
    </row>
    <row r="84" spans="2:11" hidden="1" outlineLevel="3" x14ac:dyDescent="0.25">
      <c r="B84" s="47" t="s">
        <v>84</v>
      </c>
      <c r="C84" s="48" t="s">
        <v>172</v>
      </c>
      <c r="D84" s="49" t="s">
        <v>173</v>
      </c>
      <c r="E84" s="55" t="s">
        <v>1034</v>
      </c>
      <c r="F84" s="47">
        <v>4</v>
      </c>
      <c r="G84" s="47" t="s">
        <v>1085</v>
      </c>
      <c r="H84" s="47" t="str">
        <f>IF(F84=4,B84&amp;" - "&amp;C84,"")</f>
        <v>01.02.00.03 - CSF7.04</v>
      </c>
      <c r="I84" s="50">
        <v>0</v>
      </c>
      <c r="J84" s="50">
        <f>IF(F84=4,SUMIFS(Tabela1[PAGO],Tabela1[CHAVE],'Controle EAP'!H84),SUMIFS(J:J,$G:$G,'Controle EAP'!G84&amp;"????"))</f>
        <v>0</v>
      </c>
      <c r="K84" s="14">
        <f t="shared" si="1"/>
        <v>0</v>
      </c>
    </row>
    <row r="85" spans="2:11" outlineLevel="2" collapsed="1" x14ac:dyDescent="0.25">
      <c r="B85" s="47" t="s">
        <v>175</v>
      </c>
      <c r="C85" s="48">
        <v>-1</v>
      </c>
      <c r="D85" s="49" t="s">
        <v>176</v>
      </c>
      <c r="E85" s="55" t="s">
        <v>100</v>
      </c>
      <c r="F85" s="47">
        <v>3</v>
      </c>
      <c r="G85" s="47" t="s">
        <v>1086</v>
      </c>
      <c r="H85" s="47" t="str">
        <f>IF(F85=4,B85&amp;" - "&amp;C85,"")</f>
        <v/>
      </c>
      <c r="I85" s="14">
        <f>SUMIFS(I:I,$G:$G,'Controle EAP'!G85&amp;"????")</f>
        <v>0</v>
      </c>
      <c r="J85" s="50">
        <f>IF(F85=4,SUMIFS(Tabela1[PAGO],Tabela1[CHAVE],'Controle EAP'!H85),SUMIFS(J:J,$G:$G,'Controle EAP'!G85&amp;"????"))</f>
        <v>0</v>
      </c>
      <c r="K85" s="14">
        <f t="shared" si="1"/>
        <v>0</v>
      </c>
    </row>
    <row r="86" spans="2:11" hidden="1" outlineLevel="3" x14ac:dyDescent="0.25">
      <c r="B86" s="47" t="s">
        <v>178</v>
      </c>
      <c r="C86" s="48" t="s">
        <v>179</v>
      </c>
      <c r="D86" s="49" t="s">
        <v>180</v>
      </c>
      <c r="E86" s="55" t="s">
        <v>1034</v>
      </c>
      <c r="F86" s="47">
        <v>4</v>
      </c>
      <c r="G86" s="47" t="s">
        <v>1087</v>
      </c>
      <c r="H86" s="47" t="str">
        <f>IF(F86=4,B86&amp;" - "&amp;C86,"")</f>
        <v>01.02.02.01 - C17788</v>
      </c>
      <c r="I86" s="50">
        <v>0</v>
      </c>
      <c r="J86" s="50">
        <f>IF(F86=4,SUMIFS(Tabela1[PAGO],Tabela1[CHAVE],'Controle EAP'!H86),SUMIFS(J:J,$G:$G,'Controle EAP'!G86&amp;"????"))</f>
        <v>0</v>
      </c>
      <c r="K86" s="14">
        <f t="shared" si="1"/>
        <v>0</v>
      </c>
    </row>
    <row r="87" spans="2:11" hidden="1" outlineLevel="3" x14ac:dyDescent="0.25">
      <c r="B87" s="47" t="s">
        <v>182</v>
      </c>
      <c r="C87" s="48" t="s">
        <v>183</v>
      </c>
      <c r="D87" s="49" t="s">
        <v>184</v>
      </c>
      <c r="E87" s="55" t="s">
        <v>1034</v>
      </c>
      <c r="F87" s="47">
        <v>4</v>
      </c>
      <c r="G87" s="47" t="s">
        <v>1088</v>
      </c>
      <c r="H87" s="47" t="str">
        <f>IF(F87=4,B87&amp;" - "&amp;C87,"")</f>
        <v>01.02.02.02 - C18662</v>
      </c>
      <c r="I87" s="50">
        <v>0</v>
      </c>
      <c r="J87" s="50">
        <f>IF(F87=4,SUMIFS(Tabela1[PAGO],Tabela1[CHAVE],'Controle EAP'!H87),SUMIFS(J:J,$G:$G,'Controle EAP'!G87&amp;"????"))</f>
        <v>0</v>
      </c>
      <c r="K87" s="14">
        <f t="shared" si="1"/>
        <v>0</v>
      </c>
    </row>
    <row r="88" spans="2:11" outlineLevel="2" collapsed="1" x14ac:dyDescent="0.25">
      <c r="B88" s="47" t="s">
        <v>186</v>
      </c>
      <c r="C88" s="48">
        <v>-1</v>
      </c>
      <c r="D88" s="49" t="s">
        <v>187</v>
      </c>
      <c r="E88" s="55" t="s">
        <v>100</v>
      </c>
      <c r="F88" s="47">
        <v>3</v>
      </c>
      <c r="G88" s="47" t="s">
        <v>1089</v>
      </c>
      <c r="H88" s="47" t="str">
        <f>IF(F88=4,B88&amp;" - "&amp;C88,"")</f>
        <v/>
      </c>
      <c r="I88" s="14">
        <f>SUMIFS(I:I,$G:$G,'Controle EAP'!G88&amp;"????")</f>
        <v>0</v>
      </c>
      <c r="J88" s="50">
        <f>IF(F88=4,SUMIFS(Tabela1[PAGO],Tabela1[CHAVE],'Controle EAP'!H88),SUMIFS(J:J,$G:$G,'Controle EAP'!G88&amp;"????"))</f>
        <v>0</v>
      </c>
      <c r="K88" s="14">
        <f t="shared" si="1"/>
        <v>0</v>
      </c>
    </row>
    <row r="89" spans="2:11" hidden="1" outlineLevel="3" x14ac:dyDescent="0.25">
      <c r="B89" s="47" t="s">
        <v>189</v>
      </c>
      <c r="C89" s="48" t="s">
        <v>190</v>
      </c>
      <c r="D89" s="49" t="s">
        <v>191</v>
      </c>
      <c r="E89" s="55" t="s">
        <v>1034</v>
      </c>
      <c r="F89" s="47">
        <v>4</v>
      </c>
      <c r="G89" s="47" t="s">
        <v>1090</v>
      </c>
      <c r="H89" s="47" t="str">
        <f>IF(F89=4,B89&amp;" - "&amp;C89,"")</f>
        <v>01.02.03.01 - C17174</v>
      </c>
      <c r="I89" s="50">
        <v>0</v>
      </c>
      <c r="J89" s="50">
        <f>IF(F89=4,SUMIFS(Tabela1[PAGO],Tabela1[CHAVE],'Controle EAP'!H89),SUMIFS(J:J,$G:$G,'Controle EAP'!G89&amp;"????"))</f>
        <v>0</v>
      </c>
      <c r="K89" s="14">
        <f t="shared" si="1"/>
        <v>0</v>
      </c>
    </row>
    <row r="90" spans="2:11" hidden="1" outlineLevel="3" x14ac:dyDescent="0.25">
      <c r="B90" s="47" t="s">
        <v>193</v>
      </c>
      <c r="C90" s="48" t="s">
        <v>194</v>
      </c>
      <c r="D90" s="49" t="s">
        <v>195</v>
      </c>
      <c r="E90" s="55" t="s">
        <v>1034</v>
      </c>
      <c r="F90" s="47">
        <v>4</v>
      </c>
      <c r="G90" s="47" t="s">
        <v>1091</v>
      </c>
      <c r="H90" s="47" t="str">
        <f>IF(F90=4,B90&amp;" - "&amp;C90,"")</f>
        <v>01.02.03.02 - CO000061</v>
      </c>
      <c r="I90" s="50">
        <v>0</v>
      </c>
      <c r="J90" s="50">
        <f>IF(F90=4,SUMIFS(Tabela1[PAGO],Tabela1[CHAVE],'Controle EAP'!H90),SUMIFS(J:J,$G:$G,'Controle EAP'!G90&amp;"????"))</f>
        <v>0</v>
      </c>
      <c r="K90" s="14">
        <f t="shared" si="1"/>
        <v>0</v>
      </c>
    </row>
    <row r="91" spans="2:11" hidden="1" outlineLevel="3" x14ac:dyDescent="0.25">
      <c r="B91" s="47" t="s">
        <v>197</v>
      </c>
      <c r="C91" s="48" t="s">
        <v>198</v>
      </c>
      <c r="D91" s="49" t="s">
        <v>199</v>
      </c>
      <c r="E91" s="55" t="s">
        <v>1034</v>
      </c>
      <c r="F91" s="47">
        <v>4</v>
      </c>
      <c r="G91" s="47" t="s">
        <v>1092</v>
      </c>
      <c r="H91" s="47" t="str">
        <f>IF(F91=4,B91&amp;" - "&amp;C91,"")</f>
        <v>01.02.03.03 - CO061</v>
      </c>
      <c r="I91" s="50">
        <v>0</v>
      </c>
      <c r="J91" s="50">
        <f>IF(F91=4,SUMIFS(Tabela1[PAGO],Tabela1[CHAVE],'Controle EAP'!H91),SUMIFS(J:J,$G:$G,'Controle EAP'!G91&amp;"????"))</f>
        <v>0</v>
      </c>
      <c r="K91" s="14">
        <f t="shared" si="1"/>
        <v>0</v>
      </c>
    </row>
    <row r="92" spans="2:11" hidden="1" outlineLevel="3" x14ac:dyDescent="0.25">
      <c r="B92" s="47" t="s">
        <v>200</v>
      </c>
      <c r="C92" s="48" t="s">
        <v>201</v>
      </c>
      <c r="D92" s="49" t="s">
        <v>202</v>
      </c>
      <c r="E92" s="55" t="s">
        <v>1034</v>
      </c>
      <c r="F92" s="47">
        <v>4</v>
      </c>
      <c r="G92" s="47" t="s">
        <v>1093</v>
      </c>
      <c r="H92" s="47" t="str">
        <f>IF(F92=4,B92&amp;" - "&amp;C92,"")</f>
        <v>01.02.03.04 - C14578</v>
      </c>
      <c r="I92" s="50">
        <v>0</v>
      </c>
      <c r="J92" s="50">
        <f>IF(F92=4,SUMIFS(Tabela1[PAGO],Tabela1[CHAVE],'Controle EAP'!H92),SUMIFS(J:J,$G:$G,'Controle EAP'!G92&amp;"????"))</f>
        <v>0</v>
      </c>
      <c r="K92" s="14">
        <f t="shared" si="1"/>
        <v>0</v>
      </c>
    </row>
    <row r="93" spans="2:11" hidden="1" outlineLevel="3" x14ac:dyDescent="0.25">
      <c r="B93" s="47" t="s">
        <v>203</v>
      </c>
      <c r="C93" s="48" t="s">
        <v>204</v>
      </c>
      <c r="D93" s="49" t="s">
        <v>205</v>
      </c>
      <c r="E93" s="55" t="s">
        <v>1034</v>
      </c>
      <c r="F93" s="47">
        <v>4</v>
      </c>
      <c r="G93" s="47" t="s">
        <v>1094</v>
      </c>
      <c r="H93" s="47" t="str">
        <f>IF(F93=4,B93&amp;" - "&amp;C93,"")</f>
        <v>01.02.03.05 - CO854</v>
      </c>
      <c r="I93" s="50">
        <v>0</v>
      </c>
      <c r="J93" s="50">
        <f>IF(F93=4,SUMIFS(Tabela1[PAGO],Tabela1[CHAVE],'Controle EAP'!H93),SUMIFS(J:J,$G:$G,'Controle EAP'!G93&amp;"????"))</f>
        <v>0</v>
      </c>
      <c r="K93" s="14">
        <f t="shared" si="1"/>
        <v>0</v>
      </c>
    </row>
    <row r="94" spans="2:11" hidden="1" outlineLevel="3" x14ac:dyDescent="0.25">
      <c r="B94" s="47" t="s">
        <v>206</v>
      </c>
      <c r="C94" s="48" t="s">
        <v>207</v>
      </c>
      <c r="D94" s="49" t="s">
        <v>208</v>
      </c>
      <c r="E94" s="55" t="s">
        <v>1034</v>
      </c>
      <c r="F94" s="47">
        <v>4</v>
      </c>
      <c r="G94" s="47" t="s">
        <v>1095</v>
      </c>
      <c r="H94" s="47" t="str">
        <f>IF(F94=4,B94&amp;" - "&amp;C94,"")</f>
        <v>01.02.03.06 - CO000007</v>
      </c>
      <c r="I94" s="50">
        <v>0</v>
      </c>
      <c r="J94" s="50">
        <f>IF(F94=4,SUMIFS(Tabela1[PAGO],Tabela1[CHAVE],'Controle EAP'!H94),SUMIFS(J:J,$G:$G,'Controle EAP'!G94&amp;"????"))</f>
        <v>0</v>
      </c>
      <c r="K94" s="14">
        <f t="shared" si="1"/>
        <v>0</v>
      </c>
    </row>
    <row r="95" spans="2:11" hidden="1" outlineLevel="3" x14ac:dyDescent="0.25">
      <c r="B95" s="47" t="s">
        <v>209</v>
      </c>
      <c r="C95" s="48" t="s">
        <v>210</v>
      </c>
      <c r="D95" s="49" t="s">
        <v>211</v>
      </c>
      <c r="E95" s="55" t="s">
        <v>1034</v>
      </c>
      <c r="F95" s="47">
        <v>4</v>
      </c>
      <c r="G95" s="47" t="s">
        <v>1096</v>
      </c>
      <c r="H95" s="47" t="str">
        <f>IF(F95=4,B95&amp;" - "&amp;C95,"")</f>
        <v>01.02.03.07 - CO441</v>
      </c>
      <c r="I95" s="50">
        <v>0</v>
      </c>
      <c r="J95" s="50">
        <f>IF(F95=4,SUMIFS(Tabela1[PAGO],Tabela1[CHAVE],'Controle EAP'!H95),SUMIFS(J:J,$G:$G,'Controle EAP'!G95&amp;"????"))</f>
        <v>0</v>
      </c>
      <c r="K95" s="14">
        <f t="shared" si="1"/>
        <v>0</v>
      </c>
    </row>
    <row r="96" spans="2:11" hidden="1" outlineLevel="3" x14ac:dyDescent="0.25">
      <c r="B96" s="47" t="s">
        <v>212</v>
      </c>
      <c r="C96" s="48" t="s">
        <v>213</v>
      </c>
      <c r="D96" s="49" t="s">
        <v>214</v>
      </c>
      <c r="E96" s="55" t="s">
        <v>1034</v>
      </c>
      <c r="F96" s="47">
        <v>4</v>
      </c>
      <c r="G96" s="47" t="s">
        <v>1097</v>
      </c>
      <c r="H96" s="47" t="str">
        <f>IF(F96=4,B96&amp;" - "&amp;C96,"")</f>
        <v>01.02.03.08 - CO253</v>
      </c>
      <c r="I96" s="50">
        <v>0</v>
      </c>
      <c r="J96" s="50">
        <f>IF(F96=4,SUMIFS(Tabela1[PAGO],Tabela1[CHAVE],'Controle EAP'!H96),SUMIFS(J:J,$G:$G,'Controle EAP'!G96&amp;"????"))</f>
        <v>0</v>
      </c>
      <c r="K96" s="14">
        <f t="shared" si="1"/>
        <v>0</v>
      </c>
    </row>
    <row r="97" spans="2:11" hidden="1" outlineLevel="3" x14ac:dyDescent="0.25">
      <c r="B97" s="47" t="s">
        <v>215</v>
      </c>
      <c r="C97" s="48" t="s">
        <v>216</v>
      </c>
      <c r="D97" s="49" t="s">
        <v>217</v>
      </c>
      <c r="E97" s="55" t="s">
        <v>1034</v>
      </c>
      <c r="F97" s="47">
        <v>4</v>
      </c>
      <c r="G97" s="47" t="s">
        <v>1098</v>
      </c>
      <c r="H97" s="47" t="str">
        <f>IF(F97=4,B97&amp;" - "&amp;C97,"")</f>
        <v>01.02.03.09 - C18726</v>
      </c>
      <c r="I97" s="50">
        <v>0</v>
      </c>
      <c r="J97" s="50">
        <f>IF(F97=4,SUMIFS(Tabela1[PAGO],Tabela1[CHAVE],'Controle EAP'!H97),SUMIFS(J:J,$G:$G,'Controle EAP'!G97&amp;"????"))</f>
        <v>0</v>
      </c>
      <c r="K97" s="14">
        <f t="shared" si="1"/>
        <v>0</v>
      </c>
    </row>
    <row r="98" spans="2:11" hidden="1" outlineLevel="3" x14ac:dyDescent="0.25">
      <c r="B98" s="47" t="s">
        <v>218</v>
      </c>
      <c r="C98" s="48" t="s">
        <v>219</v>
      </c>
      <c r="D98" s="49" t="s">
        <v>220</v>
      </c>
      <c r="E98" s="55" t="s">
        <v>1034</v>
      </c>
      <c r="F98" s="47">
        <v>4</v>
      </c>
      <c r="G98" s="47" t="s">
        <v>1099</v>
      </c>
      <c r="H98" s="47" t="str">
        <f>IF(F98=4,B98&amp;" - "&amp;C98,"")</f>
        <v>01.02.03.10 - CO056</v>
      </c>
      <c r="I98" s="50">
        <v>0</v>
      </c>
      <c r="J98" s="50">
        <f>IF(F98=4,SUMIFS(Tabela1[PAGO],Tabela1[CHAVE],'Controle EAP'!H98),SUMIFS(J:J,$G:$G,'Controle EAP'!G98&amp;"????"))</f>
        <v>0</v>
      </c>
      <c r="K98" s="14">
        <f t="shared" si="1"/>
        <v>0</v>
      </c>
    </row>
    <row r="99" spans="2:11" hidden="1" outlineLevel="3" x14ac:dyDescent="0.25">
      <c r="B99" s="47" t="s">
        <v>221</v>
      </c>
      <c r="C99" s="48" t="s">
        <v>222</v>
      </c>
      <c r="D99" s="49" t="s">
        <v>223</v>
      </c>
      <c r="E99" s="55" t="s">
        <v>1034</v>
      </c>
      <c r="F99" s="47">
        <v>4</v>
      </c>
      <c r="G99" s="47" t="s">
        <v>1100</v>
      </c>
      <c r="H99" s="47" t="str">
        <f>IF(F99=4,B99&amp;" - "&amp;C99,"")</f>
        <v>01.02.03.11 - CO062</v>
      </c>
      <c r="I99" s="50">
        <v>0</v>
      </c>
      <c r="J99" s="50">
        <f>IF(F99=4,SUMIFS(Tabela1[PAGO],Tabela1[CHAVE],'Controle EAP'!H99),SUMIFS(J:J,$G:$G,'Controle EAP'!G99&amp;"????"))</f>
        <v>0</v>
      </c>
      <c r="K99" s="14">
        <f t="shared" si="1"/>
        <v>0</v>
      </c>
    </row>
    <row r="100" spans="2:11" hidden="1" outlineLevel="3" x14ac:dyDescent="0.25">
      <c r="B100" s="47" t="s">
        <v>224</v>
      </c>
      <c r="C100" s="48" t="s">
        <v>198</v>
      </c>
      <c r="D100" s="49" t="s">
        <v>199</v>
      </c>
      <c r="E100" s="55" t="s">
        <v>1034</v>
      </c>
      <c r="F100" s="47">
        <v>4</v>
      </c>
      <c r="G100" s="47" t="s">
        <v>1101</v>
      </c>
      <c r="H100" s="47" t="str">
        <f>IF(F100=4,B100&amp;" - "&amp;C100,"")</f>
        <v>01.02.03.12 - CO061</v>
      </c>
      <c r="I100" s="50">
        <v>0</v>
      </c>
      <c r="J100" s="50">
        <f>IF(F100=4,SUMIFS(Tabela1[PAGO],Tabela1[CHAVE],'Controle EAP'!H100),SUMIFS(J:J,$G:$G,'Controle EAP'!G100&amp;"????"))</f>
        <v>0</v>
      </c>
      <c r="K100" s="14">
        <f t="shared" si="1"/>
        <v>0</v>
      </c>
    </row>
    <row r="101" spans="2:11" hidden="1" outlineLevel="3" x14ac:dyDescent="0.25">
      <c r="B101" s="47" t="s">
        <v>225</v>
      </c>
      <c r="C101" s="48" t="s">
        <v>226</v>
      </c>
      <c r="D101" s="49" t="s">
        <v>227</v>
      </c>
      <c r="E101" s="55" t="s">
        <v>1034</v>
      </c>
      <c r="F101" s="47">
        <v>4</v>
      </c>
      <c r="G101" s="47" t="s">
        <v>1102</v>
      </c>
      <c r="H101" s="47" t="str">
        <f>IF(F101=4,B101&amp;" - "&amp;C101,"")</f>
        <v>01.02.03.13 - C18737</v>
      </c>
      <c r="I101" s="50">
        <v>0</v>
      </c>
      <c r="J101" s="50">
        <f>IF(F101=4,SUMIFS(Tabela1[PAGO],Tabela1[CHAVE],'Controle EAP'!H101),SUMIFS(J:J,$G:$G,'Controle EAP'!G101&amp;"????"))</f>
        <v>0</v>
      </c>
      <c r="K101" s="14">
        <f t="shared" si="1"/>
        <v>0</v>
      </c>
    </row>
    <row r="102" spans="2:11" hidden="1" outlineLevel="3" x14ac:dyDescent="0.25">
      <c r="B102" s="47" t="s">
        <v>228</v>
      </c>
      <c r="C102" s="48" t="s">
        <v>229</v>
      </c>
      <c r="D102" s="49" t="s">
        <v>230</v>
      </c>
      <c r="E102" s="55" t="s">
        <v>1034</v>
      </c>
      <c r="F102" s="47">
        <v>4</v>
      </c>
      <c r="G102" s="47" t="s">
        <v>1103</v>
      </c>
      <c r="H102" s="47" t="str">
        <f>IF(F102=4,B102&amp;" - "&amp;C102,"")</f>
        <v>01.02.03.14 - CO432</v>
      </c>
      <c r="I102" s="50">
        <v>0</v>
      </c>
      <c r="J102" s="50">
        <f>IF(F102=4,SUMIFS(Tabela1[PAGO],Tabela1[CHAVE],'Controle EAP'!H102),SUMIFS(J:J,$G:$G,'Controle EAP'!G102&amp;"????"))</f>
        <v>0</v>
      </c>
      <c r="K102" s="14">
        <f t="shared" si="1"/>
        <v>0</v>
      </c>
    </row>
    <row r="103" spans="2:11" hidden="1" outlineLevel="3" x14ac:dyDescent="0.25">
      <c r="B103" s="47" t="s">
        <v>231</v>
      </c>
      <c r="C103" s="48" t="s">
        <v>232</v>
      </c>
      <c r="D103" s="49" t="s">
        <v>233</v>
      </c>
      <c r="E103" s="55" t="s">
        <v>1034</v>
      </c>
      <c r="F103" s="47">
        <v>4</v>
      </c>
      <c r="G103" s="47" t="s">
        <v>1104</v>
      </c>
      <c r="H103" s="47" t="str">
        <f>IF(F103=4,B103&amp;" - "&amp;C103,"")</f>
        <v>01.02.03.15 - CO430</v>
      </c>
      <c r="I103" s="50">
        <v>0</v>
      </c>
      <c r="J103" s="50">
        <f>IF(F103=4,SUMIFS(Tabela1[PAGO],Tabela1[CHAVE],'Controle EAP'!H103),SUMIFS(J:J,$G:$G,'Controle EAP'!G103&amp;"????"))</f>
        <v>0</v>
      </c>
      <c r="K103" s="14">
        <f t="shared" si="1"/>
        <v>0</v>
      </c>
    </row>
    <row r="104" spans="2:11" hidden="1" outlineLevel="3" x14ac:dyDescent="0.25">
      <c r="B104" s="47" t="s">
        <v>234</v>
      </c>
      <c r="C104" s="48" t="s">
        <v>235</v>
      </c>
      <c r="D104" s="49" t="s">
        <v>236</v>
      </c>
      <c r="E104" s="55" t="s">
        <v>1034</v>
      </c>
      <c r="F104" s="47">
        <v>4</v>
      </c>
      <c r="G104" s="47" t="s">
        <v>1105</v>
      </c>
      <c r="H104" s="47" t="str">
        <f>IF(F104=4,B104&amp;" - "&amp;C104,"")</f>
        <v>01.02.03.16 - CO073</v>
      </c>
      <c r="I104" s="50">
        <v>0</v>
      </c>
      <c r="J104" s="50">
        <f>IF(F104=4,SUMIFS(Tabela1[PAGO],Tabela1[CHAVE],'Controle EAP'!H104),SUMIFS(J:J,$G:$G,'Controle EAP'!G104&amp;"????"))</f>
        <v>0</v>
      </c>
      <c r="K104" s="14">
        <f t="shared" si="1"/>
        <v>0</v>
      </c>
    </row>
    <row r="105" spans="2:11" hidden="1" outlineLevel="3" x14ac:dyDescent="0.25">
      <c r="B105" s="47" t="s">
        <v>237</v>
      </c>
      <c r="C105" s="48" t="s">
        <v>210</v>
      </c>
      <c r="D105" s="49" t="s">
        <v>211</v>
      </c>
      <c r="E105" s="55" t="s">
        <v>1034</v>
      </c>
      <c r="F105" s="47">
        <v>4</v>
      </c>
      <c r="G105" s="47" t="s">
        <v>1106</v>
      </c>
      <c r="H105" s="47" t="str">
        <f>IF(F105=4,B105&amp;" - "&amp;C105,"")</f>
        <v>01.02.03.17 - CO441</v>
      </c>
      <c r="I105" s="50">
        <v>0</v>
      </c>
      <c r="J105" s="50">
        <f>IF(F105=4,SUMIFS(Tabela1[PAGO],Tabela1[CHAVE],'Controle EAP'!H105),SUMIFS(J:J,$G:$G,'Controle EAP'!G105&amp;"????"))</f>
        <v>0</v>
      </c>
      <c r="K105" s="14">
        <f t="shared" si="1"/>
        <v>0</v>
      </c>
    </row>
    <row r="106" spans="2:11" hidden="1" outlineLevel="3" x14ac:dyDescent="0.25">
      <c r="B106" s="47" t="s">
        <v>238</v>
      </c>
      <c r="C106" s="48" t="s">
        <v>213</v>
      </c>
      <c r="D106" s="49" t="s">
        <v>214</v>
      </c>
      <c r="E106" s="55" t="s">
        <v>1034</v>
      </c>
      <c r="F106" s="47">
        <v>4</v>
      </c>
      <c r="G106" s="47" t="s">
        <v>1107</v>
      </c>
      <c r="H106" s="47" t="str">
        <f>IF(F106=4,B106&amp;" - "&amp;C106,"")</f>
        <v>01.02.03.18 - CO253</v>
      </c>
      <c r="I106" s="50"/>
      <c r="J106" s="50">
        <f>IF(F106=4,SUMIFS(Tabela1[PAGO],Tabela1[CHAVE],'Controle EAP'!H106),SUMIFS(J:J,$G:$G,'Controle EAP'!G106&amp;"????"))</f>
        <v>0</v>
      </c>
      <c r="K106" s="14">
        <f t="shared" si="1"/>
        <v>0</v>
      </c>
    </row>
    <row r="107" spans="2:11" hidden="1" outlineLevel="3" x14ac:dyDescent="0.25">
      <c r="B107" s="47" t="s">
        <v>239</v>
      </c>
      <c r="C107" s="48" t="s">
        <v>240</v>
      </c>
      <c r="D107" s="49" t="s">
        <v>241</v>
      </c>
      <c r="E107" s="55" t="s">
        <v>1034</v>
      </c>
      <c r="F107" s="47">
        <v>4</v>
      </c>
      <c r="G107" s="47" t="s">
        <v>1108</v>
      </c>
      <c r="H107" s="47" t="str">
        <f>IF(F107=4,B107&amp;" - "&amp;C107,"")</f>
        <v>01.02.03.19 - CO028</v>
      </c>
      <c r="I107" s="50"/>
      <c r="J107" s="50">
        <f>IF(F107=4,SUMIFS(Tabela1[PAGO],Tabela1[CHAVE],'Controle EAP'!H107),SUMIFS(J:J,$G:$G,'Controle EAP'!G107&amp;"????"))</f>
        <v>0</v>
      </c>
      <c r="K107" s="14">
        <f t="shared" si="1"/>
        <v>0</v>
      </c>
    </row>
    <row r="108" spans="2:11" outlineLevel="2" collapsed="1" x14ac:dyDescent="0.25">
      <c r="B108" s="47" t="s">
        <v>242</v>
      </c>
      <c r="C108" s="48">
        <v>-1</v>
      </c>
      <c r="D108" s="49" t="s">
        <v>243</v>
      </c>
      <c r="E108" s="55" t="s">
        <v>100</v>
      </c>
      <c r="F108" s="47">
        <v>3</v>
      </c>
      <c r="G108" s="47" t="s">
        <v>1109</v>
      </c>
      <c r="H108" s="47" t="str">
        <f>IF(F108=4,B108&amp;" - "&amp;C108,"")</f>
        <v/>
      </c>
      <c r="I108" s="14">
        <f>SUMIFS(I:I,$G:$G,'Controle EAP'!G108&amp;"????")</f>
        <v>0</v>
      </c>
      <c r="J108" s="50">
        <f>IF(F108=4,SUMIFS(Tabela1[PAGO],Tabela1[CHAVE],'Controle EAP'!H108),SUMIFS(J:J,$G:$G,'Controle EAP'!G108&amp;"????"))</f>
        <v>0</v>
      </c>
      <c r="K108" s="14">
        <f t="shared" si="1"/>
        <v>0</v>
      </c>
    </row>
    <row r="109" spans="2:11" hidden="1" outlineLevel="3" x14ac:dyDescent="0.25">
      <c r="B109" s="47" t="s">
        <v>244</v>
      </c>
      <c r="C109" s="48" t="s">
        <v>245</v>
      </c>
      <c r="D109" s="49" t="s">
        <v>246</v>
      </c>
      <c r="E109" s="55" t="s">
        <v>1034</v>
      </c>
      <c r="F109" s="47">
        <v>4</v>
      </c>
      <c r="G109" s="47" t="s">
        <v>1110</v>
      </c>
      <c r="H109" s="47" t="str">
        <f>IF(F109=4,B109&amp;" - "&amp;C109,"")</f>
        <v>01.02.04.01 - C14427</v>
      </c>
      <c r="I109" s="50">
        <v>0</v>
      </c>
      <c r="J109" s="50">
        <f>IF(F109=4,SUMIFS(Tabela1[PAGO],Tabela1[CHAVE],'Controle EAP'!H109),SUMIFS(J:J,$G:$G,'Controle EAP'!G109&amp;"????"))</f>
        <v>0</v>
      </c>
      <c r="K109" s="14">
        <f t="shared" si="1"/>
        <v>0</v>
      </c>
    </row>
    <row r="110" spans="2:11" hidden="1" outlineLevel="3" x14ac:dyDescent="0.25">
      <c r="B110" s="47" t="s">
        <v>247</v>
      </c>
      <c r="C110" s="48" t="s">
        <v>229</v>
      </c>
      <c r="D110" s="49" t="s">
        <v>230</v>
      </c>
      <c r="E110" s="55" t="s">
        <v>1034</v>
      </c>
      <c r="F110" s="47">
        <v>4</v>
      </c>
      <c r="G110" s="47" t="s">
        <v>1111</v>
      </c>
      <c r="H110" s="47" t="str">
        <f>IF(F110=4,B110&amp;" - "&amp;C110,"")</f>
        <v>01.02.04.02 - CO432</v>
      </c>
      <c r="I110" s="50">
        <v>0</v>
      </c>
      <c r="J110" s="50">
        <f>IF(F110=4,SUMIFS(Tabela1[PAGO],Tabela1[CHAVE],'Controle EAP'!H110),SUMIFS(J:J,$G:$G,'Controle EAP'!G110&amp;"????"))</f>
        <v>0</v>
      </c>
      <c r="K110" s="14">
        <f t="shared" si="1"/>
        <v>0</v>
      </c>
    </row>
    <row r="111" spans="2:11" hidden="1" outlineLevel="3" x14ac:dyDescent="0.25">
      <c r="B111" s="47" t="s">
        <v>248</v>
      </c>
      <c r="C111" s="48" t="s">
        <v>232</v>
      </c>
      <c r="D111" s="49" t="s">
        <v>233</v>
      </c>
      <c r="E111" s="55" t="s">
        <v>1034</v>
      </c>
      <c r="F111" s="47">
        <v>4</v>
      </c>
      <c r="G111" s="47" t="s">
        <v>1112</v>
      </c>
      <c r="H111" s="47" t="str">
        <f>IF(F111=4,B111&amp;" - "&amp;C111,"")</f>
        <v>01.02.04.03 - CO430</v>
      </c>
      <c r="I111" s="50">
        <v>0</v>
      </c>
      <c r="J111" s="50">
        <f>IF(F111=4,SUMIFS(Tabela1[PAGO],Tabela1[CHAVE],'Controle EAP'!H111),SUMIFS(J:J,$G:$G,'Controle EAP'!G111&amp;"????"))</f>
        <v>0</v>
      </c>
      <c r="K111" s="14">
        <f t="shared" si="1"/>
        <v>0</v>
      </c>
    </row>
    <row r="112" spans="2:11" hidden="1" outlineLevel="3" x14ac:dyDescent="0.25">
      <c r="B112" s="47" t="s">
        <v>249</v>
      </c>
      <c r="C112" s="48" t="s">
        <v>250</v>
      </c>
      <c r="D112" s="49" t="s">
        <v>251</v>
      </c>
      <c r="E112" s="55" t="s">
        <v>1034</v>
      </c>
      <c r="F112" s="47">
        <v>4</v>
      </c>
      <c r="G112" s="47" t="s">
        <v>1113</v>
      </c>
      <c r="H112" s="47" t="str">
        <f>IF(F112=4,B112&amp;" - "&amp;C112,"")</f>
        <v>01.02.04.04 - CO071</v>
      </c>
      <c r="I112" s="50">
        <v>0</v>
      </c>
      <c r="J112" s="50">
        <f>IF(F112=4,SUMIFS(Tabela1[PAGO],Tabela1[CHAVE],'Controle EAP'!H112),SUMIFS(J:J,$G:$G,'Controle EAP'!G112&amp;"????"))</f>
        <v>0</v>
      </c>
      <c r="K112" s="14">
        <f t="shared" si="1"/>
        <v>0</v>
      </c>
    </row>
    <row r="113" spans="2:11" hidden="1" outlineLevel="3" x14ac:dyDescent="0.25">
      <c r="B113" s="47" t="s">
        <v>252</v>
      </c>
      <c r="C113" s="48" t="s">
        <v>253</v>
      </c>
      <c r="D113" s="49" t="s">
        <v>254</v>
      </c>
      <c r="E113" s="55" t="s">
        <v>1034</v>
      </c>
      <c r="F113" s="47">
        <v>4</v>
      </c>
      <c r="G113" s="47" t="s">
        <v>1114</v>
      </c>
      <c r="H113" s="47" t="str">
        <f>IF(F113=4,B113&amp;" - "&amp;C113,"")</f>
        <v>01.02.04.05 - CO078</v>
      </c>
      <c r="I113" s="50">
        <v>0</v>
      </c>
      <c r="J113" s="50">
        <f>IF(F113=4,SUMIFS(Tabela1[PAGO],Tabela1[CHAVE],'Controle EAP'!H113),SUMIFS(J:J,$G:$G,'Controle EAP'!G113&amp;"????"))</f>
        <v>0</v>
      </c>
      <c r="K113" s="14">
        <f t="shared" si="1"/>
        <v>0</v>
      </c>
    </row>
    <row r="114" spans="2:11" hidden="1" outlineLevel="3" x14ac:dyDescent="0.25">
      <c r="B114" s="47" t="s">
        <v>255</v>
      </c>
      <c r="C114" s="48" t="s">
        <v>256</v>
      </c>
      <c r="D114" s="49" t="s">
        <v>257</v>
      </c>
      <c r="E114" s="55" t="s">
        <v>1034</v>
      </c>
      <c r="F114" s="47">
        <v>4</v>
      </c>
      <c r="G114" s="47" t="s">
        <v>1115</v>
      </c>
      <c r="H114" s="47" t="str">
        <f>IF(F114=4,B114&amp;" - "&amp;C114,"")</f>
        <v>01.02.04.06 - CO552</v>
      </c>
      <c r="I114" s="50">
        <v>0</v>
      </c>
      <c r="J114" s="50">
        <f>IF(F114=4,SUMIFS(Tabela1[PAGO],Tabela1[CHAVE],'Controle EAP'!H114),SUMIFS(J:J,$G:$G,'Controle EAP'!G114&amp;"????"))</f>
        <v>0</v>
      </c>
      <c r="K114" s="14">
        <f t="shared" si="1"/>
        <v>0</v>
      </c>
    </row>
    <row r="115" spans="2:11" hidden="1" outlineLevel="3" x14ac:dyDescent="0.25">
      <c r="B115" s="47" t="s">
        <v>258</v>
      </c>
      <c r="C115" s="48" t="s">
        <v>213</v>
      </c>
      <c r="D115" s="49" t="s">
        <v>214</v>
      </c>
      <c r="E115" s="55" t="s">
        <v>1034</v>
      </c>
      <c r="F115" s="47">
        <v>4</v>
      </c>
      <c r="G115" s="47" t="s">
        <v>1116</v>
      </c>
      <c r="H115" s="47" t="str">
        <f>IF(F115=4,B115&amp;" - "&amp;C115,"")</f>
        <v>01.02.04.07 - CO253</v>
      </c>
      <c r="I115" s="50">
        <v>0</v>
      </c>
      <c r="J115" s="50">
        <f>IF(F115=4,SUMIFS(Tabela1[PAGO],Tabela1[CHAVE],'Controle EAP'!H115),SUMIFS(J:J,$G:$G,'Controle EAP'!G115&amp;"????"))</f>
        <v>0</v>
      </c>
      <c r="K115" s="14">
        <f t="shared" si="1"/>
        <v>0</v>
      </c>
    </row>
    <row r="116" spans="2:11" hidden="1" outlineLevel="3" x14ac:dyDescent="0.25">
      <c r="B116" s="47" t="s">
        <v>259</v>
      </c>
      <c r="C116" s="48" t="s">
        <v>260</v>
      </c>
      <c r="D116" s="49" t="s">
        <v>261</v>
      </c>
      <c r="E116" s="55" t="s">
        <v>1034</v>
      </c>
      <c r="F116" s="47">
        <v>4</v>
      </c>
      <c r="G116" s="47" t="s">
        <v>1117</v>
      </c>
      <c r="H116" s="47" t="str">
        <f>IF(F116=4,B116&amp;" - "&amp;C116,"")</f>
        <v>01.02.04.08 - C18745</v>
      </c>
      <c r="I116" s="50">
        <v>0</v>
      </c>
      <c r="J116" s="50">
        <f>IF(F116=4,SUMIFS(Tabela1[PAGO],Tabela1[CHAVE],'Controle EAP'!H116),SUMIFS(J:J,$G:$G,'Controle EAP'!G116&amp;"????"))</f>
        <v>0</v>
      </c>
      <c r="K116" s="14">
        <f t="shared" si="1"/>
        <v>0</v>
      </c>
    </row>
    <row r="117" spans="2:11" hidden="1" outlineLevel="3" x14ac:dyDescent="0.25">
      <c r="B117" s="47" t="s">
        <v>262</v>
      </c>
      <c r="C117" s="48" t="s">
        <v>222</v>
      </c>
      <c r="D117" s="49" t="s">
        <v>223</v>
      </c>
      <c r="E117" s="55" t="s">
        <v>1034</v>
      </c>
      <c r="F117" s="47">
        <v>4</v>
      </c>
      <c r="G117" s="47" t="s">
        <v>1118</v>
      </c>
      <c r="H117" s="47" t="str">
        <f>IF(F117=4,B117&amp;" - "&amp;C117,"")</f>
        <v>01.02.04.09 - CO062</v>
      </c>
      <c r="I117" s="50">
        <v>0</v>
      </c>
      <c r="J117" s="50">
        <f>IF(F117=4,SUMIFS(Tabela1[PAGO],Tabela1[CHAVE],'Controle EAP'!H117),SUMIFS(J:J,$G:$G,'Controle EAP'!G117&amp;"????"))</f>
        <v>0</v>
      </c>
      <c r="K117" s="14">
        <f t="shared" si="1"/>
        <v>0</v>
      </c>
    </row>
    <row r="118" spans="2:11" hidden="1" outlineLevel="3" x14ac:dyDescent="0.25">
      <c r="B118" s="47" t="s">
        <v>263</v>
      </c>
      <c r="C118" s="48" t="s">
        <v>264</v>
      </c>
      <c r="D118" s="49" t="s">
        <v>265</v>
      </c>
      <c r="E118" s="55" t="s">
        <v>1034</v>
      </c>
      <c r="F118" s="47">
        <v>4</v>
      </c>
      <c r="G118" s="47" t="s">
        <v>1119</v>
      </c>
      <c r="H118" s="47" t="str">
        <f>IF(F118=4,B118&amp;" - "&amp;C118,"")</f>
        <v>01.02.04.10 - C15721</v>
      </c>
      <c r="I118" s="50">
        <v>0</v>
      </c>
      <c r="J118" s="50">
        <f>IF(F118=4,SUMIFS(Tabela1[PAGO],Tabela1[CHAVE],'Controle EAP'!H118),SUMIFS(J:J,$G:$G,'Controle EAP'!G118&amp;"????"))</f>
        <v>0</v>
      </c>
      <c r="K118" s="14">
        <f t="shared" si="1"/>
        <v>0</v>
      </c>
    </row>
    <row r="119" spans="2:11" hidden="1" outlineLevel="3" x14ac:dyDescent="0.25">
      <c r="B119" s="47" t="s">
        <v>266</v>
      </c>
      <c r="C119" s="48" t="s">
        <v>264</v>
      </c>
      <c r="D119" s="49" t="s">
        <v>265</v>
      </c>
      <c r="E119" s="55" t="s">
        <v>1034</v>
      </c>
      <c r="F119" s="47">
        <v>4</v>
      </c>
      <c r="G119" s="47" t="s">
        <v>1120</v>
      </c>
      <c r="H119" s="47" t="str">
        <f>IF(F119=4,B119&amp;" - "&amp;C119,"")</f>
        <v>01.02.04.11 - C15721</v>
      </c>
      <c r="I119" s="50">
        <v>0</v>
      </c>
      <c r="J119" s="50">
        <f>IF(F119=4,SUMIFS(Tabela1[PAGO],Tabela1[CHAVE],'Controle EAP'!H119),SUMIFS(J:J,$G:$G,'Controle EAP'!G119&amp;"????"))</f>
        <v>0</v>
      </c>
      <c r="K119" s="14">
        <f t="shared" si="1"/>
        <v>0</v>
      </c>
    </row>
    <row r="120" spans="2:11" hidden="1" outlineLevel="3" x14ac:dyDescent="0.25">
      <c r="B120" s="47" t="s">
        <v>267</v>
      </c>
      <c r="C120" s="48" t="s">
        <v>268</v>
      </c>
      <c r="D120" s="49" t="s">
        <v>269</v>
      </c>
      <c r="E120" s="55" t="s">
        <v>1034</v>
      </c>
      <c r="F120" s="47">
        <v>4</v>
      </c>
      <c r="G120" s="47" t="s">
        <v>1121</v>
      </c>
      <c r="H120" s="47" t="str">
        <f>IF(F120=4,B120&amp;" - "&amp;C120,"")</f>
        <v>01.02.04.12 - C19931</v>
      </c>
      <c r="I120" s="50">
        <v>0</v>
      </c>
      <c r="J120" s="50">
        <f>IF(F120=4,SUMIFS(Tabela1[PAGO],Tabela1[CHAVE],'Controle EAP'!H120),SUMIFS(J:J,$G:$G,'Controle EAP'!G120&amp;"????"))</f>
        <v>0</v>
      </c>
      <c r="K120" s="14">
        <f t="shared" si="1"/>
        <v>0</v>
      </c>
    </row>
    <row r="121" spans="2:11" outlineLevel="2" collapsed="1" x14ac:dyDescent="0.25">
      <c r="B121" s="47" t="s">
        <v>270</v>
      </c>
      <c r="C121" s="48">
        <v>-1</v>
      </c>
      <c r="D121" s="49" t="s">
        <v>271</v>
      </c>
      <c r="E121" s="55" t="s">
        <v>100</v>
      </c>
      <c r="F121" s="47">
        <v>3</v>
      </c>
      <c r="G121" s="47" t="s">
        <v>1122</v>
      </c>
      <c r="H121" s="47" t="str">
        <f>IF(F121=4,B121&amp;" - "&amp;C121,"")</f>
        <v/>
      </c>
      <c r="I121" s="14">
        <f>SUMIFS(I:I,$G:$G,'Controle EAP'!G121&amp;"????")</f>
        <v>0</v>
      </c>
      <c r="J121" s="50">
        <f>IF(F121=4,SUMIFS(Tabela1[PAGO],Tabela1[CHAVE],'Controle EAP'!H121),SUMIFS(J:J,$G:$G,'Controle EAP'!G121&amp;"????"))</f>
        <v>0</v>
      </c>
      <c r="K121" s="14">
        <f t="shared" si="1"/>
        <v>0</v>
      </c>
    </row>
    <row r="122" spans="2:11" hidden="1" outlineLevel="3" x14ac:dyDescent="0.25">
      <c r="B122" s="47" t="s">
        <v>272</v>
      </c>
      <c r="C122" s="48" t="s">
        <v>273</v>
      </c>
      <c r="D122" s="49" t="s">
        <v>274</v>
      </c>
      <c r="E122" s="55" t="s">
        <v>1034</v>
      </c>
      <c r="F122" s="47">
        <v>4</v>
      </c>
      <c r="G122" s="47" t="s">
        <v>1123</v>
      </c>
      <c r="H122" s="47" t="str">
        <f>IF(F122=4,B122&amp;" - "&amp;C122,"")</f>
        <v>01.02.05.01 - CO085</v>
      </c>
      <c r="I122" s="50">
        <v>0</v>
      </c>
      <c r="J122" s="50">
        <f>IF(F122=4,SUMIFS(Tabela1[PAGO],Tabela1[CHAVE],'Controle EAP'!H122),SUMIFS(J:J,$G:$G,'Controle EAP'!G122&amp;"????"))</f>
        <v>0</v>
      </c>
      <c r="K122" s="14">
        <f t="shared" si="1"/>
        <v>0</v>
      </c>
    </row>
    <row r="123" spans="2:11" hidden="1" outlineLevel="3" x14ac:dyDescent="0.25">
      <c r="B123" s="47" t="s">
        <v>275</v>
      </c>
      <c r="C123" s="48" t="s">
        <v>276</v>
      </c>
      <c r="D123" s="49" t="s">
        <v>277</v>
      </c>
      <c r="E123" s="55" t="s">
        <v>1034</v>
      </c>
      <c r="F123" s="47">
        <v>4</v>
      </c>
      <c r="G123" s="47" t="s">
        <v>1124</v>
      </c>
      <c r="H123" s="47" t="str">
        <f>IF(F123=4,B123&amp;" - "&amp;C123,"")</f>
        <v>01.02.05.02 - CO082</v>
      </c>
      <c r="I123" s="50">
        <v>0</v>
      </c>
      <c r="J123" s="50">
        <f>IF(F123=4,SUMIFS(Tabela1[PAGO],Tabela1[CHAVE],'Controle EAP'!H123),SUMIFS(J:J,$G:$G,'Controle EAP'!G123&amp;"????"))</f>
        <v>0</v>
      </c>
      <c r="K123" s="14">
        <f t="shared" si="1"/>
        <v>0</v>
      </c>
    </row>
    <row r="124" spans="2:11" hidden="1" outlineLevel="3" x14ac:dyDescent="0.25">
      <c r="B124" s="47" t="s">
        <v>278</v>
      </c>
      <c r="C124" s="48" t="s">
        <v>279</v>
      </c>
      <c r="D124" s="49" t="s">
        <v>280</v>
      </c>
      <c r="E124" s="55" t="s">
        <v>1034</v>
      </c>
      <c r="F124" s="47">
        <v>4</v>
      </c>
      <c r="G124" s="47" t="s">
        <v>1125</v>
      </c>
      <c r="H124" s="47" t="str">
        <f>IF(F124=4,B124&amp;" - "&amp;C124,"")</f>
        <v>01.02.05.03 - C15146</v>
      </c>
      <c r="I124" s="50">
        <v>0</v>
      </c>
      <c r="J124" s="50">
        <f>IF(F124=4,SUMIFS(Tabela1[PAGO],Tabela1[CHAVE],'Controle EAP'!H124),SUMIFS(J:J,$G:$G,'Controle EAP'!G124&amp;"????"))</f>
        <v>0</v>
      </c>
      <c r="K124" s="14">
        <f t="shared" si="1"/>
        <v>0</v>
      </c>
    </row>
    <row r="125" spans="2:11" hidden="1" outlineLevel="3" x14ac:dyDescent="0.25">
      <c r="B125" s="47" t="s">
        <v>281</v>
      </c>
      <c r="C125" s="48" t="s">
        <v>282</v>
      </c>
      <c r="D125" s="49" t="s">
        <v>283</v>
      </c>
      <c r="E125" s="55" t="s">
        <v>1034</v>
      </c>
      <c r="F125" s="47">
        <v>4</v>
      </c>
      <c r="G125" s="47" t="s">
        <v>1126</v>
      </c>
      <c r="H125" s="47" t="str">
        <f>IF(F125=4,B125&amp;" - "&amp;C125,"")</f>
        <v>01.02.05.04 - CO089</v>
      </c>
      <c r="I125" s="50">
        <v>0</v>
      </c>
      <c r="J125" s="50">
        <f>IF(F125=4,SUMIFS(Tabela1[PAGO],Tabela1[CHAVE],'Controle EAP'!H125),SUMIFS(J:J,$G:$G,'Controle EAP'!G125&amp;"????"))</f>
        <v>0</v>
      </c>
      <c r="K125" s="14">
        <f t="shared" si="1"/>
        <v>0</v>
      </c>
    </row>
    <row r="126" spans="2:11" hidden="1" outlineLevel="3" x14ac:dyDescent="0.25">
      <c r="B126" s="47" t="s">
        <v>284</v>
      </c>
      <c r="C126" s="48" t="s">
        <v>285</v>
      </c>
      <c r="D126" s="49" t="s">
        <v>286</v>
      </c>
      <c r="E126" s="55" t="s">
        <v>1034</v>
      </c>
      <c r="F126" s="47">
        <v>4</v>
      </c>
      <c r="G126" s="47" t="s">
        <v>1127</v>
      </c>
      <c r="H126" s="47" t="str">
        <f>IF(F126=4,B126&amp;" - "&amp;C126,"")</f>
        <v>01.02.05.05 - CO090</v>
      </c>
      <c r="I126" s="50">
        <v>0</v>
      </c>
      <c r="J126" s="50">
        <f>IF(F126=4,SUMIFS(Tabela1[PAGO],Tabela1[CHAVE],'Controle EAP'!H126),SUMIFS(J:J,$G:$G,'Controle EAP'!G126&amp;"????"))</f>
        <v>0</v>
      </c>
      <c r="K126" s="14">
        <f t="shared" si="1"/>
        <v>0</v>
      </c>
    </row>
    <row r="127" spans="2:11" hidden="1" outlineLevel="3" x14ac:dyDescent="0.25">
      <c r="B127" s="47" t="s">
        <v>287</v>
      </c>
      <c r="C127" s="48" t="s">
        <v>288</v>
      </c>
      <c r="D127" s="49" t="s">
        <v>289</v>
      </c>
      <c r="E127" s="55" t="s">
        <v>1034</v>
      </c>
      <c r="F127" s="47">
        <v>4</v>
      </c>
      <c r="G127" s="47" t="s">
        <v>1128</v>
      </c>
      <c r="H127" s="47" t="str">
        <f>IF(F127=4,B127&amp;" - "&amp;C127,"")</f>
        <v>01.02.05.06 - C19932</v>
      </c>
      <c r="I127" s="50">
        <v>0</v>
      </c>
      <c r="J127" s="50">
        <f>IF(F127=4,SUMIFS(Tabela1[PAGO],Tabela1[CHAVE],'Controle EAP'!H127),SUMIFS(J:J,$G:$G,'Controle EAP'!G127&amp;"????"))</f>
        <v>0</v>
      </c>
      <c r="K127" s="14">
        <f t="shared" si="1"/>
        <v>0</v>
      </c>
    </row>
    <row r="128" spans="2:11" hidden="1" outlineLevel="3" x14ac:dyDescent="0.25">
      <c r="B128" s="47" t="s">
        <v>290</v>
      </c>
      <c r="C128" s="48" t="s">
        <v>291</v>
      </c>
      <c r="D128" s="49" t="s">
        <v>292</v>
      </c>
      <c r="E128" s="55" t="s">
        <v>1034</v>
      </c>
      <c r="F128" s="47">
        <v>4</v>
      </c>
      <c r="G128" s="47" t="s">
        <v>1129</v>
      </c>
      <c r="H128" s="47" t="str">
        <f>IF(F128=4,B128&amp;" - "&amp;C128,"")</f>
        <v>01.02.05.07 - C13274</v>
      </c>
      <c r="I128" s="50">
        <v>0</v>
      </c>
      <c r="J128" s="50">
        <f>IF(F128=4,SUMIFS(Tabela1[PAGO],Tabela1[CHAVE],'Controle EAP'!H128),SUMIFS(J:J,$G:$G,'Controle EAP'!G128&amp;"????"))</f>
        <v>0</v>
      </c>
      <c r="K128" s="14">
        <f t="shared" si="1"/>
        <v>0</v>
      </c>
    </row>
    <row r="129" spans="2:11" hidden="1" outlineLevel="3" x14ac:dyDescent="0.25">
      <c r="B129" s="47" t="s">
        <v>293</v>
      </c>
      <c r="C129" s="48" t="s">
        <v>294</v>
      </c>
      <c r="D129" s="49" t="s">
        <v>295</v>
      </c>
      <c r="E129" s="55" t="s">
        <v>1034</v>
      </c>
      <c r="F129" s="47">
        <v>4</v>
      </c>
      <c r="G129" s="47" t="s">
        <v>1130</v>
      </c>
      <c r="H129" s="47" t="str">
        <f>IF(F129=4,B129&amp;" - "&amp;C129,"")</f>
        <v>01.02.05.08 - C13272</v>
      </c>
      <c r="I129" s="50">
        <v>0</v>
      </c>
      <c r="J129" s="50">
        <f>IF(F129=4,SUMIFS(Tabela1[PAGO],Tabela1[CHAVE],'Controle EAP'!H129),SUMIFS(J:J,$G:$G,'Controle EAP'!G129&amp;"????"))</f>
        <v>0</v>
      </c>
      <c r="K129" s="14">
        <f t="shared" si="1"/>
        <v>0</v>
      </c>
    </row>
    <row r="130" spans="2:11" hidden="1" outlineLevel="3" x14ac:dyDescent="0.25">
      <c r="B130" s="47" t="s">
        <v>296</v>
      </c>
      <c r="C130" s="48" t="s">
        <v>297</v>
      </c>
      <c r="D130" s="49" t="s">
        <v>298</v>
      </c>
      <c r="E130" s="55" t="s">
        <v>1034</v>
      </c>
      <c r="F130" s="47">
        <v>4</v>
      </c>
      <c r="G130" s="47" t="s">
        <v>1131</v>
      </c>
      <c r="H130" s="47" t="str">
        <f>IF(F130=4,B130&amp;" - "&amp;C130,"")</f>
        <v>01.02.05.09 - C19654</v>
      </c>
      <c r="I130" s="50">
        <v>0</v>
      </c>
      <c r="J130" s="50">
        <f>IF(F130=4,SUMIFS(Tabela1[PAGO],Tabela1[CHAVE],'Controle EAP'!H130),SUMIFS(J:J,$G:$G,'Controle EAP'!G130&amp;"????"))</f>
        <v>0</v>
      </c>
      <c r="K130" s="14">
        <f t="shared" si="1"/>
        <v>0</v>
      </c>
    </row>
    <row r="131" spans="2:11" hidden="1" outlineLevel="3" x14ac:dyDescent="0.25">
      <c r="B131" s="47" t="s">
        <v>299</v>
      </c>
      <c r="C131" s="48" t="s">
        <v>300</v>
      </c>
      <c r="D131" s="49" t="s">
        <v>301</v>
      </c>
      <c r="E131" s="55" t="s">
        <v>1034</v>
      </c>
      <c r="F131" s="47">
        <v>4</v>
      </c>
      <c r="G131" s="47" t="s">
        <v>1132</v>
      </c>
      <c r="H131" s="47" t="str">
        <f>IF(F131=4,B131&amp;" - "&amp;C131,"")</f>
        <v>01.02.05.10 - CO215</v>
      </c>
      <c r="I131" s="50">
        <v>0</v>
      </c>
      <c r="J131" s="50">
        <f>IF(F131=4,SUMIFS(Tabela1[PAGO],Tabela1[CHAVE],'Controle EAP'!H131),SUMIFS(J:J,$G:$G,'Controle EAP'!G131&amp;"????"))</f>
        <v>0</v>
      </c>
      <c r="K131" s="14">
        <f t="shared" si="1"/>
        <v>0</v>
      </c>
    </row>
    <row r="132" spans="2:11" outlineLevel="2" collapsed="1" x14ac:dyDescent="0.25">
      <c r="B132" s="47" t="s">
        <v>302</v>
      </c>
      <c r="C132" s="48">
        <v>-1</v>
      </c>
      <c r="D132" s="49" t="s">
        <v>303</v>
      </c>
      <c r="E132" s="55" t="s">
        <v>100</v>
      </c>
      <c r="F132" s="47">
        <v>3</v>
      </c>
      <c r="G132" s="47" t="s">
        <v>1133</v>
      </c>
      <c r="H132" s="47" t="str">
        <f>IF(F132=4,B132&amp;" - "&amp;C132,"")</f>
        <v/>
      </c>
      <c r="I132" s="14">
        <f>SUMIFS(I:I,$G:$G,'Controle EAP'!G132&amp;"????")</f>
        <v>0</v>
      </c>
      <c r="J132" s="50">
        <f>IF(F132=4,SUMIFS(Tabela1[PAGO],Tabela1[CHAVE],'Controle EAP'!H132),SUMIFS(J:J,$G:$G,'Controle EAP'!G132&amp;"????"))</f>
        <v>0</v>
      </c>
      <c r="K132" s="14">
        <f t="shared" si="1"/>
        <v>0</v>
      </c>
    </row>
    <row r="133" spans="2:11" hidden="1" outlineLevel="3" x14ac:dyDescent="0.25">
      <c r="B133" s="47" t="s">
        <v>304</v>
      </c>
      <c r="C133" s="48" t="s">
        <v>305</v>
      </c>
      <c r="D133" s="49" t="s">
        <v>306</v>
      </c>
      <c r="E133" s="55" t="s">
        <v>1034</v>
      </c>
      <c r="F133" s="47">
        <v>4</v>
      </c>
      <c r="G133" s="47" t="s">
        <v>1134</v>
      </c>
      <c r="H133" s="47" t="str">
        <f>IF(F133=4,B133&amp;" - "&amp;C133,"")</f>
        <v>01.02.06.01 - CO479</v>
      </c>
      <c r="I133" s="50">
        <v>0</v>
      </c>
      <c r="J133" s="50">
        <f>IF(F133=4,SUMIFS(Tabela1[PAGO],Tabela1[CHAVE],'Controle EAP'!H133),SUMIFS(J:J,$G:$G,'Controle EAP'!G133&amp;"????"))</f>
        <v>0</v>
      </c>
      <c r="K133" s="14">
        <f t="shared" si="1"/>
        <v>0</v>
      </c>
    </row>
    <row r="134" spans="2:11" hidden="1" outlineLevel="3" x14ac:dyDescent="0.25">
      <c r="B134" s="47" t="s">
        <v>307</v>
      </c>
      <c r="C134" s="48" t="s">
        <v>308</v>
      </c>
      <c r="D134" s="49" t="s">
        <v>309</v>
      </c>
      <c r="E134" s="55" t="s">
        <v>1034</v>
      </c>
      <c r="F134" s="47">
        <v>4</v>
      </c>
      <c r="G134" s="47" t="s">
        <v>1135</v>
      </c>
      <c r="H134" s="47" t="str">
        <f>IF(F134=4,B134&amp;" - "&amp;C134,"")</f>
        <v>01.02.06.02 - CO124</v>
      </c>
      <c r="I134" s="50">
        <v>0</v>
      </c>
      <c r="J134" s="50">
        <f>IF(F134=4,SUMIFS(Tabela1[PAGO],Tabela1[CHAVE],'Controle EAP'!H134),SUMIFS(J:J,$G:$G,'Controle EAP'!G134&amp;"????"))</f>
        <v>0</v>
      </c>
      <c r="K134" s="14">
        <f t="shared" si="1"/>
        <v>0</v>
      </c>
    </row>
    <row r="135" spans="2:11" hidden="1" outlineLevel="3" x14ac:dyDescent="0.25">
      <c r="B135" s="47" t="s">
        <v>310</v>
      </c>
      <c r="C135" s="48" t="s">
        <v>311</v>
      </c>
      <c r="D135" s="49" t="s">
        <v>312</v>
      </c>
      <c r="E135" s="55" t="s">
        <v>1034</v>
      </c>
      <c r="F135" s="47">
        <v>4</v>
      </c>
      <c r="G135" s="47" t="s">
        <v>1136</v>
      </c>
      <c r="H135" s="47" t="str">
        <f>IF(F135=4,B135&amp;" - "&amp;C135,"")</f>
        <v>01.02.06.03 - CO481</v>
      </c>
      <c r="I135" s="50">
        <v>0</v>
      </c>
      <c r="J135" s="50">
        <f>IF(F135=4,SUMIFS(Tabela1[PAGO],Tabela1[CHAVE],'Controle EAP'!H135),SUMIFS(J:J,$G:$G,'Controle EAP'!G135&amp;"????"))</f>
        <v>0</v>
      </c>
      <c r="K135" s="14">
        <f t="shared" ref="K135:K198" si="2">I135-J135</f>
        <v>0</v>
      </c>
    </row>
    <row r="136" spans="2:11" hidden="1" outlineLevel="3" x14ac:dyDescent="0.25">
      <c r="B136" s="47" t="s">
        <v>313</v>
      </c>
      <c r="C136" s="48" t="s">
        <v>314</v>
      </c>
      <c r="D136" s="49" t="s">
        <v>315</v>
      </c>
      <c r="E136" s="55" t="s">
        <v>1034</v>
      </c>
      <c r="F136" s="47">
        <v>4</v>
      </c>
      <c r="G136" s="47" t="s">
        <v>1137</v>
      </c>
      <c r="H136" s="47" t="str">
        <f>IF(F136=4,B136&amp;" - "&amp;C136,"")</f>
        <v>01.02.06.04 - C11171</v>
      </c>
      <c r="I136" s="50">
        <v>0</v>
      </c>
      <c r="J136" s="50">
        <f>IF(F136=4,SUMIFS(Tabela1[PAGO],Tabela1[CHAVE],'Controle EAP'!H136),SUMIFS(J:J,$G:$G,'Controle EAP'!G136&amp;"????"))</f>
        <v>0</v>
      </c>
      <c r="K136" s="14">
        <f t="shared" si="2"/>
        <v>0</v>
      </c>
    </row>
    <row r="137" spans="2:11" hidden="1" outlineLevel="3" x14ac:dyDescent="0.25">
      <c r="B137" s="47" t="s">
        <v>316</v>
      </c>
      <c r="C137" s="48" t="s">
        <v>317</v>
      </c>
      <c r="D137" s="49" t="s">
        <v>318</v>
      </c>
      <c r="E137" s="55" t="s">
        <v>1034</v>
      </c>
      <c r="F137" s="47">
        <v>4</v>
      </c>
      <c r="G137" s="47" t="s">
        <v>1138</v>
      </c>
      <c r="H137" s="47" t="str">
        <f>IF(F137=4,B137&amp;" - "&amp;C137,"")</f>
        <v>01.02.06.05 - C13422</v>
      </c>
      <c r="I137" s="50">
        <v>0</v>
      </c>
      <c r="J137" s="50">
        <f>IF(F137=4,SUMIFS(Tabela1[PAGO],Tabela1[CHAVE],'Controle EAP'!H137),SUMIFS(J:J,$G:$G,'Controle EAP'!G137&amp;"????"))</f>
        <v>0</v>
      </c>
      <c r="K137" s="14">
        <f t="shared" si="2"/>
        <v>0</v>
      </c>
    </row>
    <row r="138" spans="2:11" hidden="1" outlineLevel="3" x14ac:dyDescent="0.25">
      <c r="B138" s="47" t="s">
        <v>319</v>
      </c>
      <c r="C138" s="48" t="s">
        <v>320</v>
      </c>
      <c r="D138" s="49" t="s">
        <v>321</v>
      </c>
      <c r="E138" s="55" t="s">
        <v>1034</v>
      </c>
      <c r="F138" s="47">
        <v>4</v>
      </c>
      <c r="G138" s="47" t="s">
        <v>1139</v>
      </c>
      <c r="H138" s="47" t="str">
        <f>IF(F138=4,B138&amp;" - "&amp;C138,"")</f>
        <v>01.02.06.06 - CO904</v>
      </c>
      <c r="I138" s="50">
        <v>0</v>
      </c>
      <c r="J138" s="50">
        <f>IF(F138=4,SUMIFS(Tabela1[PAGO],Tabela1[CHAVE],'Controle EAP'!H138),SUMIFS(J:J,$G:$G,'Controle EAP'!G138&amp;"????"))</f>
        <v>0</v>
      </c>
      <c r="K138" s="14">
        <f t="shared" si="2"/>
        <v>0</v>
      </c>
    </row>
    <row r="139" spans="2:11" hidden="1" outlineLevel="3" x14ac:dyDescent="0.25">
      <c r="B139" s="47" t="s">
        <v>322</v>
      </c>
      <c r="C139" s="48" t="s">
        <v>323</v>
      </c>
      <c r="D139" s="49" t="s">
        <v>324</v>
      </c>
      <c r="E139" s="55" t="s">
        <v>1034</v>
      </c>
      <c r="F139" s="47">
        <v>4</v>
      </c>
      <c r="G139" s="47" t="s">
        <v>1140</v>
      </c>
      <c r="H139" s="47" t="str">
        <f>IF(F139=4,B139&amp;" - "&amp;C139,"")</f>
        <v>01.02.06.07 - C19567</v>
      </c>
      <c r="I139" s="50">
        <v>0</v>
      </c>
      <c r="J139" s="50">
        <f>IF(F139=4,SUMIFS(Tabela1[PAGO],Tabela1[CHAVE],'Controle EAP'!H139),SUMIFS(J:J,$G:$G,'Controle EAP'!G139&amp;"????"))</f>
        <v>0</v>
      </c>
      <c r="K139" s="14">
        <f t="shared" si="2"/>
        <v>0</v>
      </c>
    </row>
    <row r="140" spans="2:11" hidden="1" outlineLevel="3" x14ac:dyDescent="0.25">
      <c r="B140" s="47" t="s">
        <v>325</v>
      </c>
      <c r="C140" s="48" t="s">
        <v>326</v>
      </c>
      <c r="D140" s="49" t="s">
        <v>327</v>
      </c>
      <c r="E140" s="55" t="s">
        <v>1034</v>
      </c>
      <c r="F140" s="47">
        <v>4</v>
      </c>
      <c r="G140" s="47" t="s">
        <v>1141</v>
      </c>
      <c r="H140" s="47" t="str">
        <f>IF(F140=4,B140&amp;" - "&amp;C140,"")</f>
        <v>01.02.06.08 - CO243</v>
      </c>
      <c r="I140" s="50">
        <v>0</v>
      </c>
      <c r="J140" s="50">
        <f>IF(F140=4,SUMIFS(Tabela1[PAGO],Tabela1[CHAVE],'Controle EAP'!H140),SUMIFS(J:J,$G:$G,'Controle EAP'!G140&amp;"????"))</f>
        <v>0</v>
      </c>
      <c r="K140" s="14">
        <f t="shared" si="2"/>
        <v>0</v>
      </c>
    </row>
    <row r="141" spans="2:11" outlineLevel="2" collapsed="1" x14ac:dyDescent="0.25">
      <c r="B141" s="47" t="s">
        <v>328</v>
      </c>
      <c r="C141" s="48">
        <v>-1</v>
      </c>
      <c r="D141" s="49" t="s">
        <v>329</v>
      </c>
      <c r="E141" s="55" t="s">
        <v>100</v>
      </c>
      <c r="F141" s="47">
        <v>3</v>
      </c>
      <c r="G141" s="47" t="s">
        <v>1142</v>
      </c>
      <c r="H141" s="47" t="str">
        <f>IF(F141=4,B141&amp;" - "&amp;C141,"")</f>
        <v/>
      </c>
      <c r="I141" s="14">
        <f>SUMIFS(I:I,$G:$G,'Controle EAP'!G141&amp;"????")</f>
        <v>0</v>
      </c>
      <c r="J141" s="50">
        <f>IF(F141=4,SUMIFS(Tabela1[PAGO],Tabela1[CHAVE],'Controle EAP'!H141),SUMIFS(J:J,$G:$G,'Controle EAP'!G141&amp;"????"))</f>
        <v>0</v>
      </c>
      <c r="K141" s="14">
        <f t="shared" si="2"/>
        <v>0</v>
      </c>
    </row>
    <row r="142" spans="2:11" hidden="1" outlineLevel="3" x14ac:dyDescent="0.25">
      <c r="B142" s="47" t="s">
        <v>330</v>
      </c>
      <c r="C142" s="48" t="s">
        <v>331</v>
      </c>
      <c r="D142" s="49" t="s">
        <v>332</v>
      </c>
      <c r="E142" s="55" t="s">
        <v>1034</v>
      </c>
      <c r="F142" s="47">
        <v>4</v>
      </c>
      <c r="G142" s="47" t="s">
        <v>1143</v>
      </c>
      <c r="H142" s="47" t="str">
        <f>IF(F142=4,B142&amp;" - "&amp;C142,"")</f>
        <v>01.02.07.01 - CO900</v>
      </c>
      <c r="I142" s="50">
        <v>0</v>
      </c>
      <c r="J142" s="50">
        <f>IF(F142=4,SUMIFS(Tabela1[PAGO],Tabela1[CHAVE],'Controle EAP'!H142),SUMIFS(J:J,$G:$G,'Controle EAP'!G142&amp;"????"))</f>
        <v>0</v>
      </c>
      <c r="K142" s="14">
        <f t="shared" si="2"/>
        <v>0</v>
      </c>
    </row>
    <row r="143" spans="2:11" hidden="1" outlineLevel="3" x14ac:dyDescent="0.25">
      <c r="B143" s="47" t="s">
        <v>333</v>
      </c>
      <c r="C143" s="48" t="s">
        <v>334</v>
      </c>
      <c r="D143" s="49" t="s">
        <v>335</v>
      </c>
      <c r="E143" s="55" t="s">
        <v>1034</v>
      </c>
      <c r="F143" s="47">
        <v>4</v>
      </c>
      <c r="G143" s="47" t="s">
        <v>1144</v>
      </c>
      <c r="H143" s="47" t="str">
        <f>IF(F143=4,B143&amp;" - "&amp;C143,"")</f>
        <v>01.02.07.02 - C19933</v>
      </c>
      <c r="I143" s="50">
        <v>0</v>
      </c>
      <c r="J143" s="50">
        <f>IF(F143=4,SUMIFS(Tabela1[PAGO],Tabela1[CHAVE],'Controle EAP'!H143),SUMIFS(J:J,$G:$G,'Controle EAP'!G143&amp;"????"))</f>
        <v>0</v>
      </c>
      <c r="K143" s="14">
        <f t="shared" si="2"/>
        <v>0</v>
      </c>
    </row>
    <row r="144" spans="2:11" hidden="1" outlineLevel="3" x14ac:dyDescent="0.25">
      <c r="B144" s="47" t="s">
        <v>336</v>
      </c>
      <c r="C144" s="48" t="s">
        <v>337</v>
      </c>
      <c r="D144" s="49" t="s">
        <v>338</v>
      </c>
      <c r="E144" s="55" t="s">
        <v>1034</v>
      </c>
      <c r="F144" s="47">
        <v>4</v>
      </c>
      <c r="G144" s="47" t="s">
        <v>1145</v>
      </c>
      <c r="H144" s="47" t="str">
        <f>IF(F144=4,B144&amp;" - "&amp;C144,"")</f>
        <v>01.02.07.03 - CO488</v>
      </c>
      <c r="I144" s="50">
        <v>0</v>
      </c>
      <c r="J144" s="50">
        <f>IF(F144=4,SUMIFS(Tabela1[PAGO],Tabela1[CHAVE],'Controle EAP'!H144),SUMIFS(J:J,$G:$G,'Controle EAP'!G144&amp;"????"))</f>
        <v>0</v>
      </c>
      <c r="K144" s="14">
        <f t="shared" si="2"/>
        <v>0</v>
      </c>
    </row>
    <row r="145" spans="2:11" hidden="1" outlineLevel="3" x14ac:dyDescent="0.25">
      <c r="B145" s="47" t="s">
        <v>339</v>
      </c>
      <c r="C145" s="48" t="s">
        <v>340</v>
      </c>
      <c r="D145" s="49" t="s">
        <v>341</v>
      </c>
      <c r="E145" s="55" t="s">
        <v>1034</v>
      </c>
      <c r="F145" s="47">
        <v>4</v>
      </c>
      <c r="G145" s="47" t="s">
        <v>1146</v>
      </c>
      <c r="H145" s="47" t="str">
        <f>IF(F145=4,B145&amp;" - "&amp;C145,"")</f>
        <v>01.02.07.04 - CO152</v>
      </c>
      <c r="I145" s="50">
        <v>0</v>
      </c>
      <c r="J145" s="50">
        <f>IF(F145=4,SUMIFS(Tabela1[PAGO],Tabela1[CHAVE],'Controle EAP'!H145),SUMIFS(J:J,$G:$G,'Controle EAP'!G145&amp;"????"))</f>
        <v>0</v>
      </c>
      <c r="K145" s="14">
        <f t="shared" si="2"/>
        <v>0</v>
      </c>
    </row>
    <row r="146" spans="2:11" hidden="1" outlineLevel="3" x14ac:dyDescent="0.25">
      <c r="B146" s="47" t="s">
        <v>342</v>
      </c>
      <c r="C146" s="48" t="s">
        <v>343</v>
      </c>
      <c r="D146" s="49" t="s">
        <v>344</v>
      </c>
      <c r="E146" s="55" t="s">
        <v>1034</v>
      </c>
      <c r="F146" s="47">
        <v>4</v>
      </c>
      <c r="G146" s="47" t="s">
        <v>1147</v>
      </c>
      <c r="H146" s="47" t="str">
        <f>IF(F146=4,B146&amp;" - "&amp;C146,"")</f>
        <v>01.02.07.05 - C19725</v>
      </c>
      <c r="I146" s="50">
        <v>0</v>
      </c>
      <c r="J146" s="50">
        <f>IF(F146=4,SUMIFS(Tabela1[PAGO],Tabela1[CHAVE],'Controle EAP'!H146),SUMIFS(J:J,$G:$G,'Controle EAP'!G146&amp;"????"))</f>
        <v>0</v>
      </c>
      <c r="K146" s="14">
        <f t="shared" si="2"/>
        <v>0</v>
      </c>
    </row>
    <row r="147" spans="2:11" hidden="1" outlineLevel="3" x14ac:dyDescent="0.25">
      <c r="B147" s="47" t="s">
        <v>345</v>
      </c>
      <c r="C147" s="48" t="s">
        <v>346</v>
      </c>
      <c r="D147" s="49" t="s">
        <v>347</v>
      </c>
      <c r="E147" s="55" t="s">
        <v>1034</v>
      </c>
      <c r="F147" s="47">
        <v>4</v>
      </c>
      <c r="G147" s="47" t="s">
        <v>1148</v>
      </c>
      <c r="H147" s="47" t="str">
        <f>IF(F147=4,B147&amp;" - "&amp;C147,"")</f>
        <v>01.02.07.06 - CO105</v>
      </c>
      <c r="I147" s="50">
        <v>0</v>
      </c>
      <c r="J147" s="50">
        <f>IF(F147=4,SUMIFS(Tabela1[PAGO],Tabela1[CHAVE],'Controle EAP'!H147),SUMIFS(J:J,$G:$G,'Controle EAP'!G147&amp;"????"))</f>
        <v>0</v>
      </c>
      <c r="K147" s="14">
        <f t="shared" si="2"/>
        <v>0</v>
      </c>
    </row>
    <row r="148" spans="2:11" hidden="1" outlineLevel="3" x14ac:dyDescent="0.25">
      <c r="B148" s="47" t="s">
        <v>348</v>
      </c>
      <c r="C148" s="48" t="s">
        <v>346</v>
      </c>
      <c r="D148" s="49" t="s">
        <v>347</v>
      </c>
      <c r="E148" s="55" t="s">
        <v>1034</v>
      </c>
      <c r="F148" s="47">
        <v>4</v>
      </c>
      <c r="G148" s="47" t="s">
        <v>1149</v>
      </c>
      <c r="H148" s="47" t="str">
        <f>IF(F148=4,B148&amp;" - "&amp;C148,"")</f>
        <v>01.02.07.07 - CO105</v>
      </c>
      <c r="I148" s="50">
        <v>0</v>
      </c>
      <c r="J148" s="50">
        <f>IF(F148=4,SUMIFS(Tabela1[PAGO],Tabela1[CHAVE],'Controle EAP'!H148),SUMIFS(J:J,$G:$G,'Controle EAP'!G148&amp;"????"))</f>
        <v>0</v>
      </c>
      <c r="K148" s="14">
        <f t="shared" si="2"/>
        <v>0</v>
      </c>
    </row>
    <row r="149" spans="2:11" hidden="1" outlineLevel="3" x14ac:dyDescent="0.25">
      <c r="B149" s="47" t="s">
        <v>349</v>
      </c>
      <c r="C149" s="48" t="s">
        <v>350</v>
      </c>
      <c r="D149" s="49" t="s">
        <v>351</v>
      </c>
      <c r="E149" s="55" t="s">
        <v>1034</v>
      </c>
      <c r="F149" s="47">
        <v>4</v>
      </c>
      <c r="G149" s="47" t="s">
        <v>1150</v>
      </c>
      <c r="H149" s="47" t="str">
        <f>IF(F149=4,B149&amp;" - "&amp;C149,"")</f>
        <v>01.02.07.08 - CO127</v>
      </c>
      <c r="I149" s="50">
        <v>0</v>
      </c>
      <c r="J149" s="50">
        <f>IF(F149=4,SUMIFS(Tabela1[PAGO],Tabela1[CHAVE],'Controle EAP'!H149),SUMIFS(J:J,$G:$G,'Controle EAP'!G149&amp;"????"))</f>
        <v>0</v>
      </c>
      <c r="K149" s="14">
        <f t="shared" si="2"/>
        <v>0</v>
      </c>
    </row>
    <row r="150" spans="2:11" hidden="1" outlineLevel="3" x14ac:dyDescent="0.25">
      <c r="B150" s="47" t="s">
        <v>352</v>
      </c>
      <c r="C150" s="48" t="s">
        <v>353</v>
      </c>
      <c r="D150" s="49" t="s">
        <v>354</v>
      </c>
      <c r="E150" s="55" t="s">
        <v>1034</v>
      </c>
      <c r="F150" s="47">
        <v>4</v>
      </c>
      <c r="G150" s="47" t="s">
        <v>1151</v>
      </c>
      <c r="H150" s="47" t="str">
        <f>IF(F150=4,B150&amp;" - "&amp;C150,"")</f>
        <v>01.02.07.09 - CO670</v>
      </c>
      <c r="I150" s="50">
        <v>0</v>
      </c>
      <c r="J150" s="50">
        <f>IF(F150=4,SUMIFS(Tabela1[PAGO],Tabela1[CHAVE],'Controle EAP'!H150),SUMIFS(J:J,$G:$G,'Controle EAP'!G150&amp;"????"))</f>
        <v>0</v>
      </c>
      <c r="K150" s="14">
        <f t="shared" si="2"/>
        <v>0</v>
      </c>
    </row>
    <row r="151" spans="2:11" hidden="1" outlineLevel="3" x14ac:dyDescent="0.25">
      <c r="B151" s="47" t="s">
        <v>355</v>
      </c>
      <c r="C151" s="48" t="s">
        <v>356</v>
      </c>
      <c r="D151" s="49" t="s">
        <v>357</v>
      </c>
      <c r="E151" s="55" t="s">
        <v>1034</v>
      </c>
      <c r="F151" s="47">
        <v>4</v>
      </c>
      <c r="G151" s="47" t="s">
        <v>1152</v>
      </c>
      <c r="H151" s="47" t="str">
        <f>IF(F151=4,B151&amp;" - "&amp;C151,"")</f>
        <v>01.02.07.10 - C19062</v>
      </c>
      <c r="I151" s="50">
        <v>0</v>
      </c>
      <c r="J151" s="50">
        <f>IF(F151=4,SUMIFS(Tabela1[PAGO],Tabela1[CHAVE],'Controle EAP'!H151),SUMIFS(J:J,$G:$G,'Controle EAP'!G151&amp;"????"))</f>
        <v>0</v>
      </c>
      <c r="K151" s="14">
        <f t="shared" si="2"/>
        <v>0</v>
      </c>
    </row>
    <row r="152" spans="2:11" hidden="1" outlineLevel="3" x14ac:dyDescent="0.25">
      <c r="B152" s="47" t="s">
        <v>358</v>
      </c>
      <c r="C152" s="47" t="s">
        <v>359</v>
      </c>
      <c r="D152" s="49" t="s">
        <v>360</v>
      </c>
      <c r="E152" s="55" t="s">
        <v>1034</v>
      </c>
      <c r="F152" s="47">
        <v>4</v>
      </c>
      <c r="G152" s="47" t="s">
        <v>1153</v>
      </c>
      <c r="H152" s="47" t="str">
        <f>IF(F152=4,B152&amp;" - "&amp;C152,"")</f>
        <v>01.02.07.11 - C16002</v>
      </c>
      <c r="I152" s="50">
        <v>0</v>
      </c>
      <c r="J152" s="50">
        <f>IF(F152=4,SUMIFS(Tabela1[PAGO],Tabela1[CHAVE],'Controle EAP'!H152),SUMIFS(J:J,$G:$G,'Controle EAP'!G152&amp;"????"))</f>
        <v>0</v>
      </c>
      <c r="K152" s="14">
        <f t="shared" si="2"/>
        <v>0</v>
      </c>
    </row>
    <row r="153" spans="2:11" outlineLevel="2" collapsed="1" x14ac:dyDescent="0.25">
      <c r="B153" s="47" t="s">
        <v>361</v>
      </c>
      <c r="C153" s="47">
        <v>-1</v>
      </c>
      <c r="D153" s="49" t="s">
        <v>362</v>
      </c>
      <c r="E153" s="55" t="s">
        <v>100</v>
      </c>
      <c r="F153" s="47">
        <v>3</v>
      </c>
      <c r="G153" s="47" t="s">
        <v>1154</v>
      </c>
      <c r="H153" s="47" t="str">
        <f>IF(F153=4,B153&amp;" - "&amp;C153,"")</f>
        <v/>
      </c>
      <c r="I153" s="14">
        <f>SUMIFS(I:I,$G:$G,'Controle EAP'!G153&amp;"????")</f>
        <v>0</v>
      </c>
      <c r="J153" s="50">
        <f>IF(F153=4,SUMIFS(Tabela1[PAGO],Tabela1[CHAVE],'Controle EAP'!H153),SUMIFS(J:J,$G:$G,'Controle EAP'!G153&amp;"????"))</f>
        <v>0</v>
      </c>
      <c r="K153" s="14">
        <f t="shared" si="2"/>
        <v>0</v>
      </c>
    </row>
    <row r="154" spans="2:11" hidden="1" outlineLevel="3" x14ac:dyDescent="0.25">
      <c r="B154" s="47" t="s">
        <v>363</v>
      </c>
      <c r="C154" s="47" t="s">
        <v>364</v>
      </c>
      <c r="D154" s="49" t="s">
        <v>365</v>
      </c>
      <c r="E154" s="55" t="s">
        <v>1034</v>
      </c>
      <c r="F154" s="47">
        <v>4</v>
      </c>
      <c r="G154" s="47" t="s">
        <v>1155</v>
      </c>
      <c r="H154" s="47" t="str">
        <f>IF(F154=4,B154&amp;" - "&amp;C154,"")</f>
        <v>01.02.08.01 - CO803</v>
      </c>
      <c r="I154" s="50">
        <v>0</v>
      </c>
      <c r="J154" s="50">
        <f>IF(F154=4,SUMIFS(Tabela1[PAGO],Tabela1[CHAVE],'Controle EAP'!H154),SUMIFS(J:J,$G:$G,'Controle EAP'!G154&amp;"????"))</f>
        <v>0</v>
      </c>
      <c r="K154" s="14">
        <f t="shared" si="2"/>
        <v>0</v>
      </c>
    </row>
    <row r="155" spans="2:11" hidden="1" outlineLevel="3" x14ac:dyDescent="0.25">
      <c r="B155" s="47" t="s">
        <v>366</v>
      </c>
      <c r="C155" s="47" t="s">
        <v>367</v>
      </c>
      <c r="D155" s="49" t="s">
        <v>368</v>
      </c>
      <c r="E155" s="55" t="s">
        <v>1034</v>
      </c>
      <c r="F155" s="47">
        <v>4</v>
      </c>
      <c r="G155" s="47" t="s">
        <v>1156</v>
      </c>
      <c r="H155" s="47" t="str">
        <f>IF(F155=4,B155&amp;" - "&amp;C155,"")</f>
        <v>01.02.08.02 - C17223</v>
      </c>
      <c r="I155" s="50">
        <v>0</v>
      </c>
      <c r="J155" s="50">
        <f>IF(F155=4,SUMIFS(Tabela1[PAGO],Tabela1[CHAVE],'Controle EAP'!H155),SUMIFS(J:J,$G:$G,'Controle EAP'!G155&amp;"????"))</f>
        <v>0</v>
      </c>
      <c r="K155" s="14">
        <f t="shared" si="2"/>
        <v>0</v>
      </c>
    </row>
    <row r="156" spans="2:11" hidden="1" outlineLevel="3" x14ac:dyDescent="0.25">
      <c r="B156" s="47" t="s">
        <v>369</v>
      </c>
      <c r="C156" s="47" t="s">
        <v>370</v>
      </c>
      <c r="D156" s="49" t="s">
        <v>371</v>
      </c>
      <c r="E156" s="55" t="s">
        <v>1034</v>
      </c>
      <c r="F156" s="47">
        <v>4</v>
      </c>
      <c r="G156" s="47" t="s">
        <v>1157</v>
      </c>
      <c r="H156" s="47" t="str">
        <f>IF(F156=4,B156&amp;" - "&amp;C156,"")</f>
        <v>01.02.08.03 - C17703</v>
      </c>
      <c r="I156" s="50">
        <v>0</v>
      </c>
      <c r="J156" s="50">
        <f>IF(F156=4,SUMIFS(Tabela1[PAGO],Tabela1[CHAVE],'Controle EAP'!H156),SUMIFS(J:J,$G:$G,'Controle EAP'!G156&amp;"????"))</f>
        <v>0</v>
      </c>
      <c r="K156" s="14">
        <f t="shared" si="2"/>
        <v>0</v>
      </c>
    </row>
    <row r="157" spans="2:11" hidden="1" outlineLevel="3" x14ac:dyDescent="0.25">
      <c r="B157" s="47" t="s">
        <v>372</v>
      </c>
      <c r="C157" s="47" t="s">
        <v>373</v>
      </c>
      <c r="D157" s="49" t="s">
        <v>374</v>
      </c>
      <c r="E157" s="55" t="s">
        <v>1034</v>
      </c>
      <c r="F157" s="47">
        <v>4</v>
      </c>
      <c r="G157" s="47" t="s">
        <v>1158</v>
      </c>
      <c r="H157" s="47" t="str">
        <f>IF(F157=4,B157&amp;" - "&amp;C157,"")</f>
        <v>01.02.08.04 - COMP007170</v>
      </c>
      <c r="I157" s="50">
        <v>0</v>
      </c>
      <c r="J157" s="50">
        <f>IF(F157=4,SUMIFS(Tabela1[PAGO],Tabela1[CHAVE],'Controle EAP'!H157),SUMIFS(J:J,$G:$G,'Controle EAP'!G157&amp;"????"))</f>
        <v>0</v>
      </c>
      <c r="K157" s="14">
        <f t="shared" si="2"/>
        <v>0</v>
      </c>
    </row>
    <row r="158" spans="2:11" hidden="1" outlineLevel="3" x14ac:dyDescent="0.25">
      <c r="B158" s="47" t="s">
        <v>375</v>
      </c>
      <c r="C158" s="47" t="s">
        <v>376</v>
      </c>
      <c r="D158" s="49" t="s">
        <v>377</v>
      </c>
      <c r="E158" s="55" t="s">
        <v>1034</v>
      </c>
      <c r="F158" s="47">
        <v>4</v>
      </c>
      <c r="G158" s="47" t="s">
        <v>1159</v>
      </c>
      <c r="H158" s="47" t="str">
        <f>IF(F158=4,B158&amp;" - "&amp;C158,"")</f>
        <v>01.02.08.05 - C17806</v>
      </c>
      <c r="I158" s="50">
        <v>0</v>
      </c>
      <c r="J158" s="50">
        <f>IF(F158=4,SUMIFS(Tabela1[PAGO],Tabela1[CHAVE],'Controle EAP'!H158),SUMIFS(J:J,$G:$G,'Controle EAP'!G158&amp;"????"))</f>
        <v>0</v>
      </c>
      <c r="K158" s="14">
        <f t="shared" si="2"/>
        <v>0</v>
      </c>
    </row>
    <row r="159" spans="2:11" hidden="1" outlineLevel="3" x14ac:dyDescent="0.25">
      <c r="B159" s="47" t="s">
        <v>378</v>
      </c>
      <c r="C159" s="47" t="s">
        <v>379</v>
      </c>
      <c r="D159" s="49" t="s">
        <v>380</v>
      </c>
      <c r="E159" s="55" t="s">
        <v>1034</v>
      </c>
      <c r="F159" s="47">
        <v>4</v>
      </c>
      <c r="G159" s="47" t="s">
        <v>1160</v>
      </c>
      <c r="H159" s="47" t="str">
        <f>IF(F159=4,B159&amp;" - "&amp;C159,"")</f>
        <v>01.02.08.06 - CO225</v>
      </c>
      <c r="I159" s="50">
        <v>0</v>
      </c>
      <c r="J159" s="50">
        <f>IF(F159=4,SUMIFS(Tabela1[PAGO],Tabela1[CHAVE],'Controle EAP'!H159),SUMIFS(J:J,$G:$G,'Controle EAP'!G159&amp;"????"))</f>
        <v>0</v>
      </c>
      <c r="K159" s="14">
        <f t="shared" si="2"/>
        <v>0</v>
      </c>
    </row>
    <row r="160" spans="2:11" hidden="1" outlineLevel="3" x14ac:dyDescent="0.25">
      <c r="B160" s="47" t="s">
        <v>381</v>
      </c>
      <c r="C160" s="47" t="s">
        <v>382</v>
      </c>
      <c r="D160" s="49" t="s">
        <v>383</v>
      </c>
      <c r="E160" s="55" t="s">
        <v>1034</v>
      </c>
      <c r="F160" s="47">
        <v>4</v>
      </c>
      <c r="G160" s="47" t="s">
        <v>1161</v>
      </c>
      <c r="H160" s="47" t="str">
        <f>IF(F160=4,B160&amp;" - "&amp;C160,"")</f>
        <v>01.02.08.07 - COMP007181</v>
      </c>
      <c r="I160" s="50">
        <v>0</v>
      </c>
      <c r="J160" s="50">
        <f>IF(F160=4,SUMIFS(Tabela1[PAGO],Tabela1[CHAVE],'Controle EAP'!H160),SUMIFS(J:J,$G:$G,'Controle EAP'!G160&amp;"????"))</f>
        <v>0</v>
      </c>
      <c r="K160" s="14">
        <f t="shared" si="2"/>
        <v>0</v>
      </c>
    </row>
    <row r="161" spans="2:11" hidden="1" outlineLevel="3" x14ac:dyDescent="0.25">
      <c r="B161" s="47" t="s">
        <v>384</v>
      </c>
      <c r="C161" s="47" t="s">
        <v>385</v>
      </c>
      <c r="D161" s="49" t="s">
        <v>386</v>
      </c>
      <c r="E161" s="55" t="s">
        <v>1034</v>
      </c>
      <c r="F161" s="47">
        <v>4</v>
      </c>
      <c r="G161" s="47" t="s">
        <v>1162</v>
      </c>
      <c r="H161" s="47" t="str">
        <f>IF(F161=4,B161&amp;" - "&amp;C161,"")</f>
        <v>01.02.08.08 - C00523</v>
      </c>
      <c r="I161" s="50">
        <v>0</v>
      </c>
      <c r="J161" s="50">
        <f>IF(F161=4,SUMIFS(Tabela1[PAGO],Tabela1[CHAVE],'Controle EAP'!H161),SUMIFS(J:J,$G:$G,'Controle EAP'!G161&amp;"????"))</f>
        <v>0</v>
      </c>
      <c r="K161" s="14">
        <f t="shared" si="2"/>
        <v>0</v>
      </c>
    </row>
    <row r="162" spans="2:11" hidden="1" outlineLevel="3" x14ac:dyDescent="0.25">
      <c r="B162" s="47" t="s">
        <v>387</v>
      </c>
      <c r="C162" s="47" t="s">
        <v>388</v>
      </c>
      <c r="D162" s="49" t="s">
        <v>389</v>
      </c>
      <c r="E162" s="55" t="s">
        <v>1034</v>
      </c>
      <c r="F162" s="47">
        <v>4</v>
      </c>
      <c r="G162" s="47" t="s">
        <v>1163</v>
      </c>
      <c r="H162" s="47" t="str">
        <f>IF(F162=4,B162&amp;" - "&amp;C162,"")</f>
        <v>01.02.08.09 - CO103</v>
      </c>
      <c r="I162" s="50">
        <v>0</v>
      </c>
      <c r="J162" s="50">
        <f>IF(F162=4,SUMIFS(Tabela1[PAGO],Tabela1[CHAVE],'Controle EAP'!H162),SUMIFS(J:J,$G:$G,'Controle EAP'!G162&amp;"????"))</f>
        <v>0</v>
      </c>
      <c r="K162" s="14">
        <f t="shared" si="2"/>
        <v>0</v>
      </c>
    </row>
    <row r="163" spans="2:11" hidden="1" outlineLevel="3" x14ac:dyDescent="0.25">
      <c r="B163" s="47" t="s">
        <v>390</v>
      </c>
      <c r="C163" s="47" t="s">
        <v>391</v>
      </c>
      <c r="D163" s="49" t="s">
        <v>392</v>
      </c>
      <c r="E163" s="55" t="s">
        <v>1034</v>
      </c>
      <c r="F163" s="47">
        <v>4</v>
      </c>
      <c r="G163" s="47" t="s">
        <v>1164</v>
      </c>
      <c r="H163" s="47" t="str">
        <f>IF(F163=4,B163&amp;" - "&amp;C163,"")</f>
        <v>01.02.08.10 - C00693</v>
      </c>
      <c r="I163" s="50">
        <v>0</v>
      </c>
      <c r="J163" s="50">
        <f>IF(F163=4,SUMIFS(Tabela1[PAGO],Tabela1[CHAVE],'Controle EAP'!H163),SUMIFS(J:J,$G:$G,'Controle EAP'!G163&amp;"????"))</f>
        <v>0</v>
      </c>
      <c r="K163" s="14">
        <f t="shared" si="2"/>
        <v>0</v>
      </c>
    </row>
    <row r="164" spans="2:11" hidden="1" outlineLevel="3" x14ac:dyDescent="0.25">
      <c r="B164" s="47" t="s">
        <v>393</v>
      </c>
      <c r="C164" s="47" t="s">
        <v>394</v>
      </c>
      <c r="D164" s="49" t="s">
        <v>395</v>
      </c>
      <c r="E164" s="55" t="s">
        <v>1034</v>
      </c>
      <c r="F164" s="47">
        <v>4</v>
      </c>
      <c r="G164" s="47" t="s">
        <v>1165</v>
      </c>
      <c r="H164" s="47" t="str">
        <f>IF(F164=4,B164&amp;" - "&amp;C164,"")</f>
        <v>01.02.08.11 - C18772</v>
      </c>
      <c r="I164" s="50">
        <v>0</v>
      </c>
      <c r="J164" s="50">
        <f>IF(F164=4,SUMIFS(Tabela1[PAGO],Tabela1[CHAVE],'Controle EAP'!H164),SUMIFS(J:J,$G:$G,'Controle EAP'!G164&amp;"????"))</f>
        <v>0</v>
      </c>
      <c r="K164" s="14">
        <f t="shared" si="2"/>
        <v>0</v>
      </c>
    </row>
    <row r="165" spans="2:11" hidden="1" outlineLevel="3" x14ac:dyDescent="0.25">
      <c r="B165" s="47" t="s">
        <v>396</v>
      </c>
      <c r="C165" s="47" t="s">
        <v>397</v>
      </c>
      <c r="D165" s="49" t="s">
        <v>398</v>
      </c>
      <c r="E165" s="55" t="s">
        <v>1034</v>
      </c>
      <c r="F165" s="47">
        <v>4</v>
      </c>
      <c r="G165" s="47" t="s">
        <v>1166</v>
      </c>
      <c r="H165" s="47" t="str">
        <f>IF(F165=4,B165&amp;" - "&amp;C165,"")</f>
        <v>01.02.08.12 - C00596</v>
      </c>
      <c r="I165" s="50">
        <v>0</v>
      </c>
      <c r="J165" s="50">
        <f>IF(F165=4,SUMIFS(Tabela1[PAGO],Tabela1[CHAVE],'Controle EAP'!H165),SUMIFS(J:J,$G:$G,'Controle EAP'!G165&amp;"????"))</f>
        <v>0</v>
      </c>
      <c r="K165" s="14">
        <f t="shared" si="2"/>
        <v>0</v>
      </c>
    </row>
    <row r="166" spans="2:11" hidden="1" outlineLevel="3" x14ac:dyDescent="0.25">
      <c r="B166" s="47" t="s">
        <v>399</v>
      </c>
      <c r="C166" s="47" t="s">
        <v>400</v>
      </c>
      <c r="D166" s="49" t="s">
        <v>401</v>
      </c>
      <c r="E166" s="55" t="s">
        <v>1034</v>
      </c>
      <c r="F166" s="47">
        <v>4</v>
      </c>
      <c r="G166" s="47" t="s">
        <v>1167</v>
      </c>
      <c r="H166" s="47" t="str">
        <f>IF(F166=4,B166&amp;" - "&amp;C166,"")</f>
        <v>01.02.08.13 - C18556</v>
      </c>
      <c r="I166" s="50">
        <v>0</v>
      </c>
      <c r="J166" s="50">
        <f>IF(F166=4,SUMIFS(Tabela1[PAGO],Tabela1[CHAVE],'Controle EAP'!H166),SUMIFS(J:J,$G:$G,'Controle EAP'!G166&amp;"????"))</f>
        <v>0</v>
      </c>
      <c r="K166" s="14">
        <f t="shared" si="2"/>
        <v>0</v>
      </c>
    </row>
    <row r="167" spans="2:11" hidden="1" outlineLevel="3" x14ac:dyDescent="0.25">
      <c r="B167" s="53" t="s">
        <v>402</v>
      </c>
      <c r="C167" s="51" t="s">
        <v>403</v>
      </c>
      <c r="D167" s="52" t="s">
        <v>404</v>
      </c>
      <c r="E167" s="51" t="s">
        <v>1034</v>
      </c>
      <c r="F167" s="51">
        <v>4</v>
      </c>
      <c r="G167" s="51" t="s">
        <v>1168</v>
      </c>
      <c r="H167" s="51" t="str">
        <f>IF(F167=4,B167&amp;" - "&amp;C167,"")</f>
        <v>01.02.08.14 - C00420</v>
      </c>
      <c r="I167" s="52">
        <v>0</v>
      </c>
      <c r="J167" s="50">
        <f>IF(F167=4,SUMIFS(Tabela1[PAGO],Tabela1[CHAVE],'Controle EAP'!H167),SUMIFS(J:J,$G:$G,'Controle EAP'!G167&amp;"????"))</f>
        <v>0</v>
      </c>
      <c r="K167" s="14">
        <f t="shared" si="2"/>
        <v>0</v>
      </c>
    </row>
    <row r="168" spans="2:11" hidden="1" outlineLevel="3" x14ac:dyDescent="0.25">
      <c r="B168" s="51" t="s">
        <v>405</v>
      </c>
      <c r="C168" s="51" t="s">
        <v>406</v>
      </c>
      <c r="D168" s="52" t="s">
        <v>407</v>
      </c>
      <c r="E168" s="51" t="s">
        <v>1034</v>
      </c>
      <c r="F168" s="51">
        <v>4</v>
      </c>
      <c r="G168" s="51" t="s">
        <v>1169</v>
      </c>
      <c r="H168" s="51" t="str">
        <f>IF(F168=4,B168&amp;" - "&amp;C168,"")</f>
        <v>01.02.08.15 - C18082</v>
      </c>
      <c r="I168" s="52">
        <v>0</v>
      </c>
      <c r="J168" s="50">
        <f>IF(F168=4,SUMIFS(Tabela1[PAGO],Tabela1[CHAVE],'Controle EAP'!H168),SUMIFS(J:J,$G:$G,'Controle EAP'!G168&amp;"????"))</f>
        <v>0</v>
      </c>
      <c r="K168" s="14">
        <f t="shared" si="2"/>
        <v>0</v>
      </c>
    </row>
    <row r="169" spans="2:11" outlineLevel="2" collapsed="1" x14ac:dyDescent="0.25">
      <c r="B169" s="51" t="s">
        <v>408</v>
      </c>
      <c r="C169" s="51">
        <v>-1</v>
      </c>
      <c r="D169" s="52" t="s">
        <v>409</v>
      </c>
      <c r="E169" s="51" t="s">
        <v>100</v>
      </c>
      <c r="F169" s="51">
        <v>3</v>
      </c>
      <c r="G169" s="51" t="s">
        <v>1170</v>
      </c>
      <c r="H169" s="51" t="str">
        <f>IF(F169=4,B169&amp;" - "&amp;C169,"")</f>
        <v/>
      </c>
      <c r="I169" s="14">
        <f>SUMIFS(I:I,$G:$G,'Controle EAP'!G169&amp;"????")</f>
        <v>0</v>
      </c>
      <c r="J169" s="50">
        <f>IF(F169=4,SUMIFS(Tabela1[PAGO],Tabela1[CHAVE],'Controle EAP'!H169),SUMIFS(J:J,$G:$G,'Controle EAP'!G169&amp;"????"))</f>
        <v>0</v>
      </c>
      <c r="K169" s="14">
        <f t="shared" si="2"/>
        <v>0</v>
      </c>
    </row>
    <row r="170" spans="2:11" hidden="1" outlineLevel="3" x14ac:dyDescent="0.25">
      <c r="B170" s="51" t="s">
        <v>410</v>
      </c>
      <c r="C170" s="51" t="s">
        <v>411</v>
      </c>
      <c r="D170" s="52" t="s">
        <v>412</v>
      </c>
      <c r="E170" s="51" t="s">
        <v>1034</v>
      </c>
      <c r="F170" s="51">
        <v>4</v>
      </c>
      <c r="G170" s="51" t="s">
        <v>1171</v>
      </c>
      <c r="H170" s="51" t="str">
        <f>IF(F170=4,B170&amp;" - "&amp;C170,"")</f>
        <v>01.02.09.01 - COMP007187</v>
      </c>
      <c r="I170" s="52">
        <v>0</v>
      </c>
      <c r="J170" s="50">
        <f>IF(F170=4,SUMIFS(Tabela1[PAGO],Tabela1[CHAVE],'Controle EAP'!H170),SUMIFS(J:J,$G:$G,'Controle EAP'!G170&amp;"????"))</f>
        <v>0</v>
      </c>
      <c r="K170" s="14">
        <f t="shared" si="2"/>
        <v>0</v>
      </c>
    </row>
    <row r="171" spans="2:11" hidden="1" outlineLevel="3" x14ac:dyDescent="0.25">
      <c r="B171" s="51" t="s">
        <v>413</v>
      </c>
      <c r="C171" s="51" t="s">
        <v>118</v>
      </c>
      <c r="D171" s="52" t="s">
        <v>119</v>
      </c>
      <c r="E171" s="51" t="s">
        <v>1034</v>
      </c>
      <c r="F171" s="51">
        <v>4</v>
      </c>
      <c r="G171" s="51" t="s">
        <v>1172</v>
      </c>
      <c r="H171" s="51" t="str">
        <f>IF(F171=4,B171&amp;" - "&amp;C171,"")</f>
        <v>01.02.09.02 - C18700</v>
      </c>
      <c r="I171" s="52">
        <v>0</v>
      </c>
      <c r="J171" s="50">
        <f>IF(F171=4,SUMIFS(Tabela1[PAGO],Tabela1[CHAVE],'Controle EAP'!H171),SUMIFS(J:J,$G:$G,'Controle EAP'!G171&amp;"????"))</f>
        <v>0</v>
      </c>
      <c r="K171" s="14">
        <f t="shared" si="2"/>
        <v>0</v>
      </c>
    </row>
    <row r="172" spans="2:11" hidden="1" outlineLevel="3" x14ac:dyDescent="0.25">
      <c r="B172" s="51" t="s">
        <v>414</v>
      </c>
      <c r="C172" s="51" t="s">
        <v>415</v>
      </c>
      <c r="D172" s="52" t="s">
        <v>416</v>
      </c>
      <c r="E172" s="51" t="s">
        <v>1034</v>
      </c>
      <c r="F172" s="51">
        <v>4</v>
      </c>
      <c r="G172" s="51" t="s">
        <v>1173</v>
      </c>
      <c r="H172" s="51" t="str">
        <f>IF(F172=4,B172&amp;" - "&amp;C172,"")</f>
        <v>01.02.09.03 - C19333</v>
      </c>
      <c r="I172" s="52">
        <v>0</v>
      </c>
      <c r="J172" s="50">
        <f>IF(F172=4,SUMIFS(Tabela1[PAGO],Tabela1[CHAVE],'Controle EAP'!H172),SUMIFS(J:J,$G:$G,'Controle EAP'!G172&amp;"????"))</f>
        <v>0</v>
      </c>
      <c r="K172" s="14">
        <f t="shared" si="2"/>
        <v>0</v>
      </c>
    </row>
    <row r="173" spans="2:11" hidden="1" outlineLevel="3" x14ac:dyDescent="0.25">
      <c r="B173" s="51" t="s">
        <v>417</v>
      </c>
      <c r="C173" s="51" t="s">
        <v>418</v>
      </c>
      <c r="D173" s="52" t="s">
        <v>419</v>
      </c>
      <c r="E173" s="51" t="s">
        <v>1034</v>
      </c>
      <c r="F173" s="51">
        <v>4</v>
      </c>
      <c r="G173" s="51" t="s">
        <v>1174</v>
      </c>
      <c r="H173" s="51" t="str">
        <f>IF(F173=4,B173&amp;" - "&amp;C173,"")</f>
        <v>01.02.09.04 - C19934</v>
      </c>
      <c r="I173" s="52">
        <v>0</v>
      </c>
      <c r="J173" s="50">
        <f>IF(F173=4,SUMIFS(Tabela1[PAGO],Tabela1[CHAVE],'Controle EAP'!H173),SUMIFS(J:J,$G:$G,'Controle EAP'!G173&amp;"????"))</f>
        <v>0</v>
      </c>
      <c r="K173" s="14">
        <f t="shared" si="2"/>
        <v>0</v>
      </c>
    </row>
    <row r="174" spans="2:11" outlineLevel="2" collapsed="1" x14ac:dyDescent="0.25">
      <c r="B174" s="51" t="s">
        <v>420</v>
      </c>
      <c r="C174" s="51">
        <v>-1</v>
      </c>
      <c r="D174" s="52" t="s">
        <v>421</v>
      </c>
      <c r="E174" s="51" t="s">
        <v>100</v>
      </c>
      <c r="F174" s="51">
        <v>3</v>
      </c>
      <c r="G174" s="51" t="s">
        <v>1175</v>
      </c>
      <c r="H174" s="51" t="str">
        <f>IF(F174=4,B174&amp;" - "&amp;C174,"")</f>
        <v/>
      </c>
      <c r="I174" s="14">
        <f>SUMIFS(I:I,$G:$G,'Controle EAP'!G174&amp;"????")</f>
        <v>0</v>
      </c>
      <c r="J174" s="50">
        <f>IF(F174=4,SUMIFS(Tabela1[PAGO],Tabela1[CHAVE],'Controle EAP'!H174),SUMIFS(J:J,$G:$G,'Controle EAP'!G174&amp;"????"))</f>
        <v>0</v>
      </c>
      <c r="K174" s="14">
        <f t="shared" si="2"/>
        <v>0</v>
      </c>
    </row>
    <row r="175" spans="2:11" hidden="1" outlineLevel="3" x14ac:dyDescent="0.25">
      <c r="B175" s="51" t="s">
        <v>422</v>
      </c>
      <c r="C175" s="51" t="s">
        <v>423</v>
      </c>
      <c r="D175" s="52" t="s">
        <v>424</v>
      </c>
      <c r="E175" s="51" t="s">
        <v>1034</v>
      </c>
      <c r="F175" s="51">
        <v>4</v>
      </c>
      <c r="G175" s="51" t="s">
        <v>1176</v>
      </c>
      <c r="H175" s="51" t="str">
        <f>IF(F175=4,B175&amp;" - "&amp;C175,"")</f>
        <v>01.02.10.01 - C00700</v>
      </c>
      <c r="I175" s="52">
        <v>0</v>
      </c>
      <c r="J175" s="50">
        <f>IF(F175=4,SUMIFS(Tabela1[PAGO],Tabela1[CHAVE],'Controle EAP'!H175),SUMIFS(J:J,$G:$G,'Controle EAP'!G175&amp;"????"))</f>
        <v>0</v>
      </c>
      <c r="K175" s="14">
        <f t="shared" si="2"/>
        <v>0</v>
      </c>
    </row>
    <row r="176" spans="2:11" hidden="1" outlineLevel="3" x14ac:dyDescent="0.25">
      <c r="B176" s="51" t="s">
        <v>425</v>
      </c>
      <c r="C176" s="51" t="s">
        <v>426</v>
      </c>
      <c r="D176" s="52" t="s">
        <v>427</v>
      </c>
      <c r="E176" s="51" t="s">
        <v>1034</v>
      </c>
      <c r="F176" s="51">
        <v>4</v>
      </c>
      <c r="G176" s="51" t="s">
        <v>1177</v>
      </c>
      <c r="H176" s="51" t="str">
        <f>IF(F176=4,B176&amp;" - "&amp;C176,"")</f>
        <v>01.02.10.02 - C17795</v>
      </c>
      <c r="I176" s="52">
        <v>0</v>
      </c>
      <c r="J176" s="50">
        <f>IF(F176=4,SUMIFS(Tabela1[PAGO],Tabela1[CHAVE],'Controle EAP'!H176),SUMIFS(J:J,$G:$G,'Controle EAP'!G176&amp;"????"))</f>
        <v>0</v>
      </c>
      <c r="K176" s="14">
        <f t="shared" si="2"/>
        <v>0</v>
      </c>
    </row>
    <row r="177" spans="2:11" hidden="1" outlineLevel="3" x14ac:dyDescent="0.25">
      <c r="B177" s="51" t="s">
        <v>428</v>
      </c>
      <c r="C177" s="51" t="s">
        <v>429</v>
      </c>
      <c r="D177" s="52" t="s">
        <v>430</v>
      </c>
      <c r="E177" s="51" t="s">
        <v>1034</v>
      </c>
      <c r="F177" s="51">
        <v>4</v>
      </c>
      <c r="G177" s="51" t="s">
        <v>1178</v>
      </c>
      <c r="H177" s="51" t="str">
        <f>IF(F177=4,B177&amp;" - "&amp;C177,"")</f>
        <v>01.02.10.03 - C00533</v>
      </c>
      <c r="I177" s="52">
        <v>0</v>
      </c>
      <c r="J177" s="50">
        <f>IF(F177=4,SUMIFS(Tabela1[PAGO],Tabela1[CHAVE],'Controle EAP'!H177),SUMIFS(J:J,$G:$G,'Controle EAP'!G177&amp;"????"))</f>
        <v>0</v>
      </c>
      <c r="K177" s="14">
        <f t="shared" si="2"/>
        <v>0</v>
      </c>
    </row>
    <row r="178" spans="2:11" hidden="1" outlineLevel="3" x14ac:dyDescent="0.25">
      <c r="B178" s="51" t="s">
        <v>431</v>
      </c>
      <c r="C178" s="51" t="s">
        <v>432</v>
      </c>
      <c r="D178" s="52" t="s">
        <v>433</v>
      </c>
      <c r="E178" s="51" t="s">
        <v>1034</v>
      </c>
      <c r="F178" s="51">
        <v>4</v>
      </c>
      <c r="G178" s="51" t="s">
        <v>1179</v>
      </c>
      <c r="H178" s="51" t="str">
        <f>IF(F178=4,B178&amp;" - "&amp;C178,"")</f>
        <v>01.02.10.04 - C00530</v>
      </c>
      <c r="I178" s="52">
        <v>0</v>
      </c>
      <c r="J178" s="50">
        <f>IF(F178=4,SUMIFS(Tabela1[PAGO],Tabela1[CHAVE],'Controle EAP'!H178),SUMIFS(J:J,$G:$G,'Controle EAP'!G178&amp;"????"))</f>
        <v>0</v>
      </c>
      <c r="K178" s="14">
        <f t="shared" si="2"/>
        <v>0</v>
      </c>
    </row>
    <row r="179" spans="2:11" hidden="1" outlineLevel="3" x14ac:dyDescent="0.25">
      <c r="B179" s="51" t="s">
        <v>434</v>
      </c>
      <c r="C179" s="51" t="s">
        <v>435</v>
      </c>
      <c r="D179" s="52" t="s">
        <v>436</v>
      </c>
      <c r="E179" s="51" t="s">
        <v>1034</v>
      </c>
      <c r="F179" s="51">
        <v>4</v>
      </c>
      <c r="G179" s="51" t="s">
        <v>1180</v>
      </c>
      <c r="H179" s="51" t="str">
        <f>IF(F179=4,B179&amp;" - "&amp;C179,"")</f>
        <v>01.02.10.05 - C19935</v>
      </c>
      <c r="I179" s="52">
        <v>0</v>
      </c>
      <c r="J179" s="50">
        <f>IF(F179=4,SUMIFS(Tabela1[PAGO],Tabela1[CHAVE],'Controle EAP'!H179),SUMIFS(J:J,$G:$G,'Controle EAP'!G179&amp;"????"))</f>
        <v>0</v>
      </c>
      <c r="K179" s="14">
        <f t="shared" si="2"/>
        <v>0</v>
      </c>
    </row>
    <row r="180" spans="2:11" hidden="1" outlineLevel="3" x14ac:dyDescent="0.25">
      <c r="B180" s="51" t="s">
        <v>437</v>
      </c>
      <c r="C180" s="51" t="s">
        <v>438</v>
      </c>
      <c r="D180" s="52" t="s">
        <v>439</v>
      </c>
      <c r="E180" s="51" t="s">
        <v>1034</v>
      </c>
      <c r="F180" s="51">
        <v>4</v>
      </c>
      <c r="G180" s="51" t="s">
        <v>1181</v>
      </c>
      <c r="H180" s="51" t="str">
        <f>IF(F180=4,B180&amp;" - "&amp;C180,"")</f>
        <v>01.02.10.06 - C11349</v>
      </c>
      <c r="I180" s="52">
        <v>0</v>
      </c>
      <c r="J180" s="50">
        <f>IF(F180=4,SUMIFS(Tabela1[PAGO],Tabela1[CHAVE],'Controle EAP'!H180),SUMIFS(J:J,$G:$G,'Controle EAP'!G180&amp;"????"))</f>
        <v>0</v>
      </c>
      <c r="K180" s="14">
        <f t="shared" si="2"/>
        <v>0</v>
      </c>
    </row>
    <row r="181" spans="2:11" hidden="1" outlineLevel="3" x14ac:dyDescent="0.25">
      <c r="B181" s="51" t="s">
        <v>440</v>
      </c>
      <c r="C181" s="51" t="s">
        <v>441</v>
      </c>
      <c r="D181" s="52" t="s">
        <v>442</v>
      </c>
      <c r="E181" s="51" t="s">
        <v>1034</v>
      </c>
      <c r="F181" s="51">
        <v>4</v>
      </c>
      <c r="G181" s="51" t="s">
        <v>1182</v>
      </c>
      <c r="H181" s="51" t="str">
        <f>IF(F181=4,B181&amp;" - "&amp;C181,"")</f>
        <v>01.02.10.07 - C17229</v>
      </c>
      <c r="I181" s="52">
        <v>0</v>
      </c>
      <c r="J181" s="50">
        <f>IF(F181=4,SUMIFS(Tabela1[PAGO],Tabela1[CHAVE],'Controle EAP'!H181),SUMIFS(J:J,$G:$G,'Controle EAP'!G181&amp;"????"))</f>
        <v>0</v>
      </c>
      <c r="K181" s="14">
        <f t="shared" si="2"/>
        <v>0</v>
      </c>
    </row>
    <row r="182" spans="2:11" hidden="1" outlineLevel="3" x14ac:dyDescent="0.25">
      <c r="B182" s="51" t="s">
        <v>443</v>
      </c>
      <c r="C182" s="51" t="s">
        <v>444</v>
      </c>
      <c r="D182" s="52" t="s">
        <v>445</v>
      </c>
      <c r="E182" s="51" t="s">
        <v>1034</v>
      </c>
      <c r="F182" s="51">
        <v>4</v>
      </c>
      <c r="G182" s="51" t="s">
        <v>1183</v>
      </c>
      <c r="H182" s="51" t="str">
        <f>IF(F182=4,B182&amp;" - "&amp;C182,"")</f>
        <v>01.02.10.09 - C12143</v>
      </c>
      <c r="I182" s="52">
        <v>0</v>
      </c>
      <c r="J182" s="50">
        <f>IF(F182=4,SUMIFS(Tabela1[PAGO],Tabela1[CHAVE],'Controle EAP'!H182),SUMIFS(J:J,$G:$G,'Controle EAP'!G182&amp;"????"))</f>
        <v>0</v>
      </c>
      <c r="K182" s="14">
        <f t="shared" si="2"/>
        <v>0</v>
      </c>
    </row>
    <row r="183" spans="2:11" hidden="1" outlineLevel="3" x14ac:dyDescent="0.25">
      <c r="B183" s="51" t="s">
        <v>446</v>
      </c>
      <c r="C183" s="51" t="s">
        <v>447</v>
      </c>
      <c r="D183" s="52" t="s">
        <v>448</v>
      </c>
      <c r="E183" s="51" t="s">
        <v>1034</v>
      </c>
      <c r="F183" s="51">
        <v>4</v>
      </c>
      <c r="G183" s="51" t="s">
        <v>1184</v>
      </c>
      <c r="H183" s="51" t="str">
        <f>IF(F183=4,B183&amp;" - "&amp;C183,"")</f>
        <v>01.02.10.10 - C19369</v>
      </c>
      <c r="I183" s="52">
        <v>0</v>
      </c>
      <c r="J183" s="50">
        <f>IF(F183=4,SUMIFS(Tabela1[PAGO],Tabela1[CHAVE],'Controle EAP'!H183),SUMIFS(J:J,$G:$G,'Controle EAP'!G183&amp;"????"))</f>
        <v>0</v>
      </c>
      <c r="K183" s="14">
        <f t="shared" si="2"/>
        <v>0</v>
      </c>
    </row>
    <row r="184" spans="2:11" hidden="1" outlineLevel="3" x14ac:dyDescent="0.25">
      <c r="B184" s="51" t="s">
        <v>449</v>
      </c>
      <c r="C184" s="51" t="s">
        <v>450</v>
      </c>
      <c r="D184" s="52" t="s">
        <v>451</v>
      </c>
      <c r="E184" s="51" t="s">
        <v>1034</v>
      </c>
      <c r="F184" s="51">
        <v>4</v>
      </c>
      <c r="G184" s="51" t="s">
        <v>1185</v>
      </c>
      <c r="H184" s="51" t="str">
        <f>IF(F184=4,B184&amp;" - "&amp;C184,"")</f>
        <v>01.02.10.11 - C15965</v>
      </c>
      <c r="I184" s="52">
        <v>0</v>
      </c>
      <c r="J184" s="50">
        <f>IF(F184=4,SUMIFS(Tabela1[PAGO],Tabela1[CHAVE],'Controle EAP'!H184),SUMIFS(J:J,$G:$G,'Controle EAP'!G184&amp;"????"))</f>
        <v>0</v>
      </c>
      <c r="K184" s="14">
        <f t="shared" si="2"/>
        <v>0</v>
      </c>
    </row>
    <row r="185" spans="2:11" hidden="1" outlineLevel="3" x14ac:dyDescent="0.25">
      <c r="B185" s="51" t="s">
        <v>452</v>
      </c>
      <c r="C185" s="51" t="s">
        <v>453</v>
      </c>
      <c r="D185" s="52" t="s">
        <v>454</v>
      </c>
      <c r="E185" s="51" t="s">
        <v>1034</v>
      </c>
      <c r="F185" s="51">
        <v>4</v>
      </c>
      <c r="G185" s="51" t="s">
        <v>1186</v>
      </c>
      <c r="H185" s="51" t="str">
        <f>IF(F185=4,B185&amp;" - "&amp;C185,"")</f>
        <v>01.02.10.12 - C12225</v>
      </c>
      <c r="I185" s="52">
        <v>0</v>
      </c>
      <c r="J185" s="50">
        <f>IF(F185=4,SUMIFS(Tabela1[PAGO],Tabela1[CHAVE],'Controle EAP'!H185),SUMIFS(J:J,$G:$G,'Controle EAP'!G185&amp;"????"))</f>
        <v>0</v>
      </c>
      <c r="K185" s="14">
        <f t="shared" si="2"/>
        <v>0</v>
      </c>
    </row>
    <row r="186" spans="2:11" hidden="1" outlineLevel="3" x14ac:dyDescent="0.25">
      <c r="B186" s="51" t="s">
        <v>455</v>
      </c>
      <c r="C186" s="51" t="s">
        <v>456</v>
      </c>
      <c r="D186" s="52" t="s">
        <v>457</v>
      </c>
      <c r="E186" s="51" t="s">
        <v>1034</v>
      </c>
      <c r="F186" s="51">
        <v>4</v>
      </c>
      <c r="G186" s="51" t="s">
        <v>1187</v>
      </c>
      <c r="H186" s="51" t="str">
        <f>IF(F186=4,B186&amp;" - "&amp;C186,"")</f>
        <v>01.02.10.13 - C00520</v>
      </c>
      <c r="I186" s="52">
        <v>0</v>
      </c>
      <c r="J186" s="50">
        <f>IF(F186=4,SUMIFS(Tabela1[PAGO],Tabela1[CHAVE],'Controle EAP'!H186),SUMIFS(J:J,$G:$G,'Controle EAP'!G186&amp;"????"))</f>
        <v>0</v>
      </c>
      <c r="K186" s="14">
        <f t="shared" si="2"/>
        <v>0</v>
      </c>
    </row>
    <row r="187" spans="2:11" hidden="1" outlineLevel="3" x14ac:dyDescent="0.25">
      <c r="B187" s="51" t="s">
        <v>458</v>
      </c>
      <c r="C187" s="51" t="s">
        <v>459</v>
      </c>
      <c r="D187" s="52" t="s">
        <v>460</v>
      </c>
      <c r="E187" s="51" t="s">
        <v>1034</v>
      </c>
      <c r="F187" s="51">
        <v>4</v>
      </c>
      <c r="G187" s="51" t="s">
        <v>1188</v>
      </c>
      <c r="H187" s="51" t="str">
        <f>IF(F187=4,B187&amp;" - "&amp;C187,"")</f>
        <v>01.02.10.14 - C19936</v>
      </c>
      <c r="I187" s="52">
        <v>0</v>
      </c>
      <c r="J187" s="50">
        <f>IF(F187=4,SUMIFS(Tabela1[PAGO],Tabela1[CHAVE],'Controle EAP'!H187),SUMIFS(J:J,$G:$G,'Controle EAP'!G187&amp;"????"))</f>
        <v>0</v>
      </c>
      <c r="K187" s="14">
        <f t="shared" si="2"/>
        <v>0</v>
      </c>
    </row>
    <row r="188" spans="2:11" hidden="1" outlineLevel="3" x14ac:dyDescent="0.25">
      <c r="B188" s="51" t="s">
        <v>461</v>
      </c>
      <c r="C188" s="51" t="s">
        <v>462</v>
      </c>
      <c r="D188" s="52" t="s">
        <v>463</v>
      </c>
      <c r="E188" s="51" t="s">
        <v>1034</v>
      </c>
      <c r="F188" s="51">
        <v>4</v>
      </c>
      <c r="G188" s="51" t="s">
        <v>1189</v>
      </c>
      <c r="H188" s="51" t="str">
        <f>IF(F188=4,B188&amp;" - "&amp;C188,"")</f>
        <v>01.02.10.15 - C19593</v>
      </c>
      <c r="I188" s="52">
        <v>0</v>
      </c>
      <c r="J188" s="50">
        <f>IF(F188=4,SUMIFS(Tabela1[PAGO],Tabela1[CHAVE],'Controle EAP'!H188),SUMIFS(J:J,$G:$G,'Controle EAP'!G188&amp;"????"))</f>
        <v>0</v>
      </c>
      <c r="K188" s="14">
        <f t="shared" si="2"/>
        <v>0</v>
      </c>
    </row>
    <row r="189" spans="2:11" hidden="1" outlineLevel="3" x14ac:dyDescent="0.25">
      <c r="B189" s="51" t="s">
        <v>464</v>
      </c>
      <c r="C189" s="51" t="s">
        <v>465</v>
      </c>
      <c r="D189" s="52" t="s">
        <v>466</v>
      </c>
      <c r="E189" s="51" t="s">
        <v>1034</v>
      </c>
      <c r="F189" s="51">
        <v>4</v>
      </c>
      <c r="G189" s="51" t="s">
        <v>1190</v>
      </c>
      <c r="H189" s="51" t="str">
        <f>IF(F189=4,B189&amp;" - "&amp;C189,"")</f>
        <v>01.02.10.17 - C19937</v>
      </c>
      <c r="I189" s="52">
        <v>0</v>
      </c>
      <c r="J189" s="50">
        <f>IF(F189=4,SUMIFS(Tabela1[PAGO],Tabela1[CHAVE],'Controle EAP'!H189),SUMIFS(J:J,$G:$G,'Controle EAP'!G189&amp;"????"))</f>
        <v>0</v>
      </c>
      <c r="K189" s="14">
        <f t="shared" si="2"/>
        <v>0</v>
      </c>
    </row>
    <row r="190" spans="2:11" outlineLevel="2" collapsed="1" x14ac:dyDescent="0.25">
      <c r="B190" s="51" t="s">
        <v>467</v>
      </c>
      <c r="C190" s="51">
        <v>-1</v>
      </c>
      <c r="D190" s="52" t="s">
        <v>468</v>
      </c>
      <c r="E190" s="51" t="s">
        <v>100</v>
      </c>
      <c r="F190" s="51">
        <v>3</v>
      </c>
      <c r="G190" s="51" t="s">
        <v>1191</v>
      </c>
      <c r="H190" s="51" t="str">
        <f>IF(F190=4,B190&amp;" - "&amp;C190,"")</f>
        <v/>
      </c>
      <c r="I190" s="14">
        <f>SUMIFS(I:I,$G:$G,'Controle EAP'!G190&amp;"????")</f>
        <v>0</v>
      </c>
      <c r="J190" s="50">
        <f>IF(F190=4,SUMIFS(Tabela1[PAGO],Tabela1[CHAVE],'Controle EAP'!H190),SUMIFS(J:J,$G:$G,'Controle EAP'!G190&amp;"????"))</f>
        <v>0</v>
      </c>
      <c r="K190" s="14">
        <f t="shared" si="2"/>
        <v>0</v>
      </c>
    </row>
    <row r="191" spans="2:11" hidden="1" outlineLevel="3" x14ac:dyDescent="0.25">
      <c r="B191" s="51" t="s">
        <v>469</v>
      </c>
      <c r="C191" s="51" t="s">
        <v>470</v>
      </c>
      <c r="D191" s="52" t="s">
        <v>471</v>
      </c>
      <c r="E191" s="51" t="s">
        <v>1034</v>
      </c>
      <c r="F191" s="51">
        <v>4</v>
      </c>
      <c r="G191" s="51" t="s">
        <v>1192</v>
      </c>
      <c r="H191" s="51" t="str">
        <f>IF(F191=4,B191&amp;" - "&amp;C191,"")</f>
        <v>01.02.11.01 - C19938</v>
      </c>
      <c r="I191" s="52">
        <v>0</v>
      </c>
      <c r="J191" s="50">
        <f>IF(F191=4,SUMIFS(Tabela1[PAGO],Tabela1[CHAVE],'Controle EAP'!H191),SUMIFS(J:J,$G:$G,'Controle EAP'!G191&amp;"????"))</f>
        <v>0</v>
      </c>
      <c r="K191" s="14">
        <f t="shared" si="2"/>
        <v>0</v>
      </c>
    </row>
    <row r="192" spans="2:11" hidden="1" outlineLevel="3" x14ac:dyDescent="0.25">
      <c r="B192" s="51" t="s">
        <v>472</v>
      </c>
      <c r="C192" s="51" t="s">
        <v>473</v>
      </c>
      <c r="D192" s="52" t="s">
        <v>474</v>
      </c>
      <c r="E192" s="51" t="s">
        <v>1034</v>
      </c>
      <c r="F192" s="51">
        <v>4</v>
      </c>
      <c r="G192" s="51" t="s">
        <v>1193</v>
      </c>
      <c r="H192" s="51" t="str">
        <f>IF(F192=4,B192&amp;" - "&amp;C192,"")</f>
        <v>01.02.11.02 - C19576</v>
      </c>
      <c r="I192" s="52">
        <v>0</v>
      </c>
      <c r="J192" s="50">
        <f>IF(F192=4,SUMIFS(Tabela1[PAGO],Tabela1[CHAVE],'Controle EAP'!H192),SUMIFS(J:J,$G:$G,'Controle EAP'!G192&amp;"????"))</f>
        <v>0</v>
      </c>
      <c r="K192" s="14">
        <f t="shared" si="2"/>
        <v>0</v>
      </c>
    </row>
    <row r="193" spans="2:11" hidden="1" outlineLevel="3" x14ac:dyDescent="0.25">
      <c r="B193" s="51" t="s">
        <v>475</v>
      </c>
      <c r="C193" s="51" t="s">
        <v>476</v>
      </c>
      <c r="D193" s="52" t="s">
        <v>477</v>
      </c>
      <c r="E193" s="51" t="s">
        <v>1034</v>
      </c>
      <c r="F193" s="51">
        <v>4</v>
      </c>
      <c r="G193" s="51" t="s">
        <v>1194</v>
      </c>
      <c r="H193" s="51" t="str">
        <f>IF(F193=4,B193&amp;" - "&amp;C193,"")</f>
        <v>01.02.11.03 - C19939</v>
      </c>
      <c r="I193" s="52">
        <v>0</v>
      </c>
      <c r="J193" s="50">
        <f>IF(F193=4,SUMIFS(Tabela1[PAGO],Tabela1[CHAVE],'Controle EAP'!H193),SUMIFS(J:J,$G:$G,'Controle EAP'!G193&amp;"????"))</f>
        <v>0</v>
      </c>
      <c r="K193" s="14">
        <f t="shared" si="2"/>
        <v>0</v>
      </c>
    </row>
    <row r="194" spans="2:11" hidden="1" outlineLevel="3" x14ac:dyDescent="0.25">
      <c r="B194" s="51" t="s">
        <v>478</v>
      </c>
      <c r="C194" s="51" t="s">
        <v>479</v>
      </c>
      <c r="D194" s="52" t="s">
        <v>480</v>
      </c>
      <c r="E194" s="51" t="s">
        <v>1034</v>
      </c>
      <c r="F194" s="51">
        <v>4</v>
      </c>
      <c r="G194" s="51" t="s">
        <v>1195</v>
      </c>
      <c r="H194" s="51" t="str">
        <f>IF(F194=4,B194&amp;" - "&amp;C194,"")</f>
        <v>01.02.11.04 - C19940</v>
      </c>
      <c r="I194" s="52">
        <v>0</v>
      </c>
      <c r="J194" s="50">
        <f>IF(F194=4,SUMIFS(Tabela1[PAGO],Tabela1[CHAVE],'Controle EAP'!H194),SUMIFS(J:J,$G:$G,'Controle EAP'!G194&amp;"????"))</f>
        <v>0</v>
      </c>
      <c r="K194" s="14">
        <f t="shared" si="2"/>
        <v>0</v>
      </c>
    </row>
    <row r="195" spans="2:11" hidden="1" outlineLevel="3" x14ac:dyDescent="0.25">
      <c r="B195" s="51" t="s">
        <v>481</v>
      </c>
      <c r="C195" s="51" t="s">
        <v>482</v>
      </c>
      <c r="D195" s="52" t="s">
        <v>483</v>
      </c>
      <c r="E195" s="51" t="s">
        <v>1034</v>
      </c>
      <c r="F195" s="51">
        <v>4</v>
      </c>
      <c r="G195" s="51" t="s">
        <v>1196</v>
      </c>
      <c r="H195" s="51" t="str">
        <f>IF(F195=4,B195&amp;" - "&amp;C195,"")</f>
        <v>01.02.11.05 - C19941</v>
      </c>
      <c r="I195" s="52">
        <v>0</v>
      </c>
      <c r="J195" s="50">
        <f>IF(F195=4,SUMIFS(Tabela1[PAGO],Tabela1[CHAVE],'Controle EAP'!H195),SUMIFS(J:J,$G:$G,'Controle EAP'!G195&amp;"????"))</f>
        <v>0</v>
      </c>
      <c r="K195" s="14">
        <f t="shared" si="2"/>
        <v>0</v>
      </c>
    </row>
    <row r="196" spans="2:11" hidden="1" outlineLevel="3" x14ac:dyDescent="0.25">
      <c r="B196" s="51" t="s">
        <v>484</v>
      </c>
      <c r="C196" s="51" t="s">
        <v>485</v>
      </c>
      <c r="D196" s="52" t="s">
        <v>486</v>
      </c>
      <c r="E196" s="51" t="s">
        <v>1034</v>
      </c>
      <c r="F196" s="51">
        <v>4</v>
      </c>
      <c r="G196" s="51" t="s">
        <v>1197</v>
      </c>
      <c r="H196" s="51" t="str">
        <f>IF(F196=4,B196&amp;" - "&amp;C196,"")</f>
        <v>01.02.11.06 - C19942</v>
      </c>
      <c r="I196" s="52">
        <v>0</v>
      </c>
      <c r="J196" s="50">
        <f>IF(F196=4,SUMIFS(Tabela1[PAGO],Tabela1[CHAVE],'Controle EAP'!H196),SUMIFS(J:J,$G:$G,'Controle EAP'!G196&amp;"????"))</f>
        <v>0</v>
      </c>
      <c r="K196" s="14">
        <f t="shared" si="2"/>
        <v>0</v>
      </c>
    </row>
    <row r="197" spans="2:11" hidden="1" outlineLevel="3" x14ac:dyDescent="0.25">
      <c r="B197" s="51" t="s">
        <v>487</v>
      </c>
      <c r="C197" s="51" t="s">
        <v>488</v>
      </c>
      <c r="D197" s="52" t="s">
        <v>489</v>
      </c>
      <c r="E197" s="51" t="s">
        <v>1034</v>
      </c>
      <c r="F197" s="51">
        <v>4</v>
      </c>
      <c r="G197" s="51" t="s">
        <v>1198</v>
      </c>
      <c r="H197" s="51" t="str">
        <f>IF(F197=4,B197&amp;" - "&amp;C197,"")</f>
        <v>01.02.11.07 - C00602</v>
      </c>
      <c r="I197" s="52">
        <v>0</v>
      </c>
      <c r="J197" s="50">
        <f>IF(F197=4,SUMIFS(Tabela1[PAGO],Tabela1[CHAVE],'Controle EAP'!H197),SUMIFS(J:J,$G:$G,'Controle EAP'!G197&amp;"????"))</f>
        <v>0</v>
      </c>
      <c r="K197" s="14">
        <f t="shared" si="2"/>
        <v>0</v>
      </c>
    </row>
    <row r="198" spans="2:11" hidden="1" outlineLevel="3" x14ac:dyDescent="0.25">
      <c r="B198" s="51" t="s">
        <v>490</v>
      </c>
      <c r="C198" s="51" t="s">
        <v>491</v>
      </c>
      <c r="D198" s="52" t="s">
        <v>492</v>
      </c>
      <c r="E198" s="51" t="s">
        <v>1034</v>
      </c>
      <c r="F198" s="51">
        <v>4</v>
      </c>
      <c r="G198" s="51" t="s">
        <v>1199</v>
      </c>
      <c r="H198" s="51" t="str">
        <f>IF(F198=4,B198&amp;" - "&amp;C198,"")</f>
        <v>01.02.11.08 - CO868</v>
      </c>
      <c r="I198" s="52">
        <v>0</v>
      </c>
      <c r="J198" s="50">
        <f>IF(F198=4,SUMIFS(Tabela1[PAGO],Tabela1[CHAVE],'Controle EAP'!H198),SUMIFS(J:J,$G:$G,'Controle EAP'!G198&amp;"????"))</f>
        <v>0</v>
      </c>
      <c r="K198" s="14">
        <f t="shared" si="2"/>
        <v>0</v>
      </c>
    </row>
    <row r="199" spans="2:11" hidden="1" outlineLevel="3" x14ac:dyDescent="0.25">
      <c r="B199" s="51" t="s">
        <v>493</v>
      </c>
      <c r="C199" s="51" t="s">
        <v>494</v>
      </c>
      <c r="D199" s="52" t="s">
        <v>495</v>
      </c>
      <c r="E199" s="51" t="s">
        <v>1034</v>
      </c>
      <c r="F199" s="51">
        <v>4</v>
      </c>
      <c r="G199" s="51" t="s">
        <v>1200</v>
      </c>
      <c r="H199" s="51" t="str">
        <f>IF(F199=4,B199&amp;" - "&amp;C199,"")</f>
        <v>01.02.11.09 - CO869</v>
      </c>
      <c r="I199" s="52">
        <v>0</v>
      </c>
      <c r="J199" s="50">
        <f>IF(F199=4,SUMIFS(Tabela1[PAGO],Tabela1[CHAVE],'Controle EAP'!H199),SUMIFS(J:J,$G:$G,'Controle EAP'!G199&amp;"????"))</f>
        <v>0</v>
      </c>
      <c r="K199" s="14">
        <f t="shared" ref="K199:K262" si="3">I199-J199</f>
        <v>0</v>
      </c>
    </row>
    <row r="200" spans="2:11" hidden="1" outlineLevel="3" x14ac:dyDescent="0.25">
      <c r="B200" s="51" t="s">
        <v>496</v>
      </c>
      <c r="C200" s="51" t="s">
        <v>497</v>
      </c>
      <c r="D200" s="52" t="s">
        <v>498</v>
      </c>
      <c r="E200" s="51" t="s">
        <v>1034</v>
      </c>
      <c r="F200" s="51">
        <v>4</v>
      </c>
      <c r="G200" s="51" t="s">
        <v>1201</v>
      </c>
      <c r="H200" s="51" t="str">
        <f>IF(F200=4,B200&amp;" - "&amp;C200,"")</f>
        <v>01.02.11.10 - C19578</v>
      </c>
      <c r="I200" s="52">
        <v>0</v>
      </c>
      <c r="J200" s="50">
        <f>IF(F200=4,SUMIFS(Tabela1[PAGO],Tabela1[CHAVE],'Controle EAP'!H200),SUMIFS(J:J,$G:$G,'Controle EAP'!G200&amp;"????"))</f>
        <v>0</v>
      </c>
      <c r="K200" s="14">
        <f t="shared" si="3"/>
        <v>0</v>
      </c>
    </row>
    <row r="201" spans="2:11" hidden="1" outlineLevel="3" x14ac:dyDescent="0.25">
      <c r="B201" s="51" t="s">
        <v>499</v>
      </c>
      <c r="C201" s="51" t="s">
        <v>500</v>
      </c>
      <c r="D201" s="52" t="s">
        <v>501</v>
      </c>
      <c r="E201" s="51" t="s">
        <v>1034</v>
      </c>
      <c r="F201" s="51">
        <v>4</v>
      </c>
      <c r="G201" s="51" t="s">
        <v>1202</v>
      </c>
      <c r="H201" s="51" t="str">
        <f>IF(F201=4,B201&amp;" - "&amp;C201,"")</f>
        <v>01.02.11.11 - C18794</v>
      </c>
      <c r="I201" s="52">
        <v>0</v>
      </c>
      <c r="J201" s="50">
        <f>IF(F201=4,SUMIFS(Tabela1[PAGO],Tabela1[CHAVE],'Controle EAP'!H201),SUMIFS(J:J,$G:$G,'Controle EAP'!G201&amp;"????"))</f>
        <v>0</v>
      </c>
      <c r="K201" s="14">
        <f t="shared" si="3"/>
        <v>0</v>
      </c>
    </row>
    <row r="202" spans="2:11" hidden="1" outlineLevel="3" x14ac:dyDescent="0.25">
      <c r="B202" s="51" t="s">
        <v>502</v>
      </c>
      <c r="C202" s="51" t="s">
        <v>503</v>
      </c>
      <c r="D202" s="52" t="s">
        <v>504</v>
      </c>
      <c r="E202" s="51" t="s">
        <v>1034</v>
      </c>
      <c r="F202" s="51">
        <v>4</v>
      </c>
      <c r="G202" s="51" t="s">
        <v>1203</v>
      </c>
      <c r="H202" s="51" t="str">
        <f>IF(F202=4,B202&amp;" - "&amp;C202,"")</f>
        <v>01.02.11.12 - C12713</v>
      </c>
      <c r="I202" s="52">
        <v>0</v>
      </c>
      <c r="J202" s="50">
        <f>IF(F202=4,SUMIFS(Tabela1[PAGO],Tabela1[CHAVE],'Controle EAP'!H202),SUMIFS(J:J,$G:$G,'Controle EAP'!G202&amp;"????"))</f>
        <v>0</v>
      </c>
      <c r="K202" s="14">
        <f t="shared" si="3"/>
        <v>0</v>
      </c>
    </row>
    <row r="203" spans="2:11" hidden="1" outlineLevel="3" x14ac:dyDescent="0.25">
      <c r="B203" s="51" t="s">
        <v>505</v>
      </c>
      <c r="C203" s="51" t="s">
        <v>506</v>
      </c>
      <c r="D203" s="52" t="s">
        <v>507</v>
      </c>
      <c r="E203" s="51" t="s">
        <v>1034</v>
      </c>
      <c r="F203" s="51">
        <v>4</v>
      </c>
      <c r="G203" s="51" t="s">
        <v>1204</v>
      </c>
      <c r="H203" s="51" t="str">
        <f>IF(F203=4,B203&amp;" - "&amp;C203,"")</f>
        <v>01.02.11.13 - CO303</v>
      </c>
      <c r="I203" s="52">
        <v>0</v>
      </c>
      <c r="J203" s="50">
        <f>IF(F203=4,SUMIFS(Tabela1[PAGO],Tabela1[CHAVE],'Controle EAP'!H203),SUMIFS(J:J,$G:$G,'Controle EAP'!G203&amp;"????"))</f>
        <v>0</v>
      </c>
      <c r="K203" s="14">
        <f t="shared" si="3"/>
        <v>0</v>
      </c>
    </row>
    <row r="204" spans="2:11" hidden="1" outlineLevel="3" x14ac:dyDescent="0.25">
      <c r="B204" s="51" t="s">
        <v>508</v>
      </c>
      <c r="C204" s="51" t="s">
        <v>497</v>
      </c>
      <c r="D204" s="52" t="s">
        <v>498</v>
      </c>
      <c r="E204" s="51" t="s">
        <v>1034</v>
      </c>
      <c r="F204" s="51">
        <v>4</v>
      </c>
      <c r="G204" s="51" t="s">
        <v>1205</v>
      </c>
      <c r="H204" s="51" t="str">
        <f>IF(F204=4,B204&amp;" - "&amp;C204,"")</f>
        <v>01.02.11.14 - C19578</v>
      </c>
      <c r="I204" s="52">
        <v>0</v>
      </c>
      <c r="J204" s="50">
        <f>IF(F204=4,SUMIFS(Tabela1[PAGO],Tabela1[CHAVE],'Controle EAP'!H204),SUMIFS(J:J,$G:$G,'Controle EAP'!G204&amp;"????"))</f>
        <v>0</v>
      </c>
      <c r="K204" s="14">
        <f t="shared" si="3"/>
        <v>0</v>
      </c>
    </row>
    <row r="205" spans="2:11" hidden="1" outlineLevel="3" x14ac:dyDescent="0.25">
      <c r="B205" s="51" t="s">
        <v>509</v>
      </c>
      <c r="C205" s="51" t="s">
        <v>510</v>
      </c>
      <c r="D205" s="52" t="s">
        <v>511</v>
      </c>
      <c r="E205" s="51" t="s">
        <v>1034</v>
      </c>
      <c r="F205" s="51">
        <v>4</v>
      </c>
      <c r="G205" s="51" t="s">
        <v>1206</v>
      </c>
      <c r="H205" s="51" t="str">
        <f>IF(F205=4,B205&amp;" - "&amp;C205,"")</f>
        <v>01.02.11.15 - C12412</v>
      </c>
      <c r="I205" s="52">
        <v>0</v>
      </c>
      <c r="J205" s="50">
        <f>IF(F205=4,SUMIFS(Tabela1[PAGO],Tabela1[CHAVE],'Controle EAP'!H205),SUMIFS(J:J,$G:$G,'Controle EAP'!G205&amp;"????"))</f>
        <v>0</v>
      </c>
      <c r="K205" s="14">
        <f t="shared" si="3"/>
        <v>0</v>
      </c>
    </row>
    <row r="206" spans="2:11" hidden="1" outlineLevel="3" x14ac:dyDescent="0.25">
      <c r="B206" s="51" t="s">
        <v>512</v>
      </c>
      <c r="C206" s="51" t="s">
        <v>513</v>
      </c>
      <c r="D206" s="52" t="s">
        <v>514</v>
      </c>
      <c r="E206" s="51" t="s">
        <v>1034</v>
      </c>
      <c r="F206" s="51">
        <v>4</v>
      </c>
      <c r="G206" s="51" t="s">
        <v>1207</v>
      </c>
      <c r="H206" s="51" t="str">
        <f>IF(F206=4,B206&amp;" - "&amp;C206,"")</f>
        <v>01.02.11.16 - CO863</v>
      </c>
      <c r="I206" s="52">
        <v>0</v>
      </c>
      <c r="J206" s="50">
        <f>IF(F206=4,SUMIFS(Tabela1[PAGO],Tabela1[CHAVE],'Controle EAP'!H206),SUMIFS(J:J,$G:$G,'Controle EAP'!G206&amp;"????"))</f>
        <v>0</v>
      </c>
      <c r="K206" s="14">
        <f t="shared" si="3"/>
        <v>0</v>
      </c>
    </row>
    <row r="207" spans="2:11" hidden="1" outlineLevel="3" x14ac:dyDescent="0.25">
      <c r="B207" s="51" t="s">
        <v>515</v>
      </c>
      <c r="C207" s="51" t="s">
        <v>506</v>
      </c>
      <c r="D207" s="52" t="s">
        <v>507</v>
      </c>
      <c r="E207" s="51" t="s">
        <v>1034</v>
      </c>
      <c r="F207" s="51">
        <v>4</v>
      </c>
      <c r="G207" s="51" t="s">
        <v>1208</v>
      </c>
      <c r="H207" s="51" t="str">
        <f>IF(F207=4,B207&amp;" - "&amp;C207,"")</f>
        <v>01.02.11.17 - CO303</v>
      </c>
      <c r="I207" s="52">
        <v>0</v>
      </c>
      <c r="J207" s="50">
        <f>IF(F207=4,SUMIFS(Tabela1[PAGO],Tabela1[CHAVE],'Controle EAP'!H207),SUMIFS(J:J,$G:$G,'Controle EAP'!G207&amp;"????"))</f>
        <v>0</v>
      </c>
      <c r="K207" s="14">
        <f t="shared" si="3"/>
        <v>0</v>
      </c>
    </row>
    <row r="208" spans="2:11" hidden="1" outlineLevel="3" x14ac:dyDescent="0.25">
      <c r="B208" s="51" t="s">
        <v>516</v>
      </c>
      <c r="C208" s="51" t="s">
        <v>517</v>
      </c>
      <c r="D208" s="52" t="s">
        <v>518</v>
      </c>
      <c r="E208" s="51" t="s">
        <v>1034</v>
      </c>
      <c r="F208" s="51">
        <v>4</v>
      </c>
      <c r="G208" s="51" t="s">
        <v>1209</v>
      </c>
      <c r="H208" s="51" t="str">
        <f>IF(F208=4,B208&amp;" - "&amp;C208,"")</f>
        <v>01.02.11.18 - CO305</v>
      </c>
      <c r="I208" s="52">
        <v>0</v>
      </c>
      <c r="J208" s="50">
        <f>IF(F208=4,SUMIFS(Tabela1[PAGO],Tabela1[CHAVE],'Controle EAP'!H208),SUMIFS(J:J,$G:$G,'Controle EAP'!G208&amp;"????"))</f>
        <v>0</v>
      </c>
      <c r="K208" s="14">
        <f t="shared" si="3"/>
        <v>0</v>
      </c>
    </row>
    <row r="209" spans="2:11" hidden="1" outlineLevel="3" x14ac:dyDescent="0.25">
      <c r="B209" s="51" t="s">
        <v>519</v>
      </c>
      <c r="C209" s="51" t="s">
        <v>520</v>
      </c>
      <c r="D209" s="52" t="s">
        <v>521</v>
      </c>
      <c r="E209" s="51" t="s">
        <v>1034</v>
      </c>
      <c r="F209" s="51">
        <v>4</v>
      </c>
      <c r="G209" s="51" t="s">
        <v>1210</v>
      </c>
      <c r="H209" s="51" t="str">
        <f>IF(F209=4,B209&amp;" - "&amp;C209,"")</f>
        <v>01.02.11.19 - C17777</v>
      </c>
      <c r="I209" s="52">
        <v>0</v>
      </c>
      <c r="J209" s="50">
        <f>IF(F209=4,SUMIFS(Tabela1[PAGO],Tabela1[CHAVE],'Controle EAP'!H209),SUMIFS(J:J,$G:$G,'Controle EAP'!G209&amp;"????"))</f>
        <v>0</v>
      </c>
      <c r="K209" s="14">
        <f t="shared" si="3"/>
        <v>0</v>
      </c>
    </row>
    <row r="210" spans="2:11" hidden="1" outlineLevel="3" x14ac:dyDescent="0.25">
      <c r="B210" s="51" t="s">
        <v>522</v>
      </c>
      <c r="C210" s="51" t="s">
        <v>523</v>
      </c>
      <c r="D210" s="52" t="s">
        <v>524</v>
      </c>
      <c r="E210" s="51" t="s">
        <v>1034</v>
      </c>
      <c r="F210" s="51">
        <v>4</v>
      </c>
      <c r="G210" s="51" t="s">
        <v>1211</v>
      </c>
      <c r="H210" s="51" t="str">
        <f>IF(F210=4,B210&amp;" - "&amp;C210,"")</f>
        <v>01.02.11.20 - CO312</v>
      </c>
      <c r="I210" s="52">
        <v>0</v>
      </c>
      <c r="J210" s="50">
        <f>IF(F210=4,SUMIFS(Tabela1[PAGO],Tabela1[CHAVE],'Controle EAP'!H210),SUMIFS(J:J,$G:$G,'Controle EAP'!G210&amp;"????"))</f>
        <v>0</v>
      </c>
      <c r="K210" s="14">
        <f t="shared" si="3"/>
        <v>0</v>
      </c>
    </row>
    <row r="211" spans="2:11" hidden="1" outlineLevel="3" x14ac:dyDescent="0.25">
      <c r="B211" s="51" t="s">
        <v>525</v>
      </c>
      <c r="C211" s="51" t="s">
        <v>526</v>
      </c>
      <c r="D211" s="52" t="s">
        <v>527</v>
      </c>
      <c r="E211" s="51" t="s">
        <v>1034</v>
      </c>
      <c r="F211" s="51">
        <v>4</v>
      </c>
      <c r="G211" s="51" t="s">
        <v>1212</v>
      </c>
      <c r="H211" s="51" t="str">
        <f>IF(F211=4,B211&amp;" - "&amp;C211,"")</f>
        <v>01.02.11.21 - C18193</v>
      </c>
      <c r="I211" s="52">
        <v>0</v>
      </c>
      <c r="J211" s="50">
        <f>IF(F211=4,SUMIFS(Tabela1[PAGO],Tabela1[CHAVE],'Controle EAP'!H211),SUMIFS(J:J,$G:$G,'Controle EAP'!G211&amp;"????"))</f>
        <v>0</v>
      </c>
      <c r="K211" s="14">
        <f t="shared" si="3"/>
        <v>0</v>
      </c>
    </row>
    <row r="212" spans="2:11" hidden="1" outlineLevel="3" x14ac:dyDescent="0.25">
      <c r="B212" s="51" t="s">
        <v>528</v>
      </c>
      <c r="C212" s="51" t="s">
        <v>529</v>
      </c>
      <c r="D212" s="52" t="s">
        <v>530</v>
      </c>
      <c r="E212" s="51" t="s">
        <v>1034</v>
      </c>
      <c r="F212" s="51">
        <v>4</v>
      </c>
      <c r="G212" s="51" t="s">
        <v>1213</v>
      </c>
      <c r="H212" s="51" t="str">
        <f>IF(F212=4,B212&amp;" - "&amp;C212,"")</f>
        <v>01.02.11.22 - CO149</v>
      </c>
      <c r="I212" s="52">
        <v>0</v>
      </c>
      <c r="J212" s="50">
        <f>IF(F212=4,SUMIFS(Tabela1[PAGO],Tabela1[CHAVE],'Controle EAP'!H212),SUMIFS(J:J,$G:$G,'Controle EAP'!G212&amp;"????"))</f>
        <v>0</v>
      </c>
      <c r="K212" s="14">
        <f t="shared" si="3"/>
        <v>0</v>
      </c>
    </row>
    <row r="213" spans="2:11" hidden="1" outlineLevel="3" x14ac:dyDescent="0.25">
      <c r="B213" s="51" t="s">
        <v>531</v>
      </c>
      <c r="C213" s="51" t="s">
        <v>532</v>
      </c>
      <c r="D213" s="52" t="s">
        <v>533</v>
      </c>
      <c r="E213" s="51" t="s">
        <v>1034</v>
      </c>
      <c r="F213" s="51">
        <v>4</v>
      </c>
      <c r="G213" s="51" t="s">
        <v>1214</v>
      </c>
      <c r="H213" s="51" t="str">
        <f>IF(F213=4,B213&amp;" - "&amp;C213,"")</f>
        <v>01.02.11.23 - CO150</v>
      </c>
      <c r="I213" s="52">
        <v>0</v>
      </c>
      <c r="J213" s="50">
        <f>IF(F213=4,SUMIFS(Tabela1[PAGO],Tabela1[CHAVE],'Controle EAP'!H213),SUMIFS(J:J,$G:$G,'Controle EAP'!G213&amp;"????"))</f>
        <v>0</v>
      </c>
      <c r="K213" s="14">
        <f t="shared" si="3"/>
        <v>0</v>
      </c>
    </row>
    <row r="214" spans="2:11" hidden="1" outlineLevel="3" x14ac:dyDescent="0.25">
      <c r="B214" s="51" t="s">
        <v>534</v>
      </c>
      <c r="C214" s="51" t="s">
        <v>535</v>
      </c>
      <c r="D214" s="52" t="s">
        <v>536</v>
      </c>
      <c r="E214" s="51" t="s">
        <v>1034</v>
      </c>
      <c r="F214" s="51">
        <v>4</v>
      </c>
      <c r="G214" s="51" t="s">
        <v>1215</v>
      </c>
      <c r="H214" s="51" t="str">
        <f>IF(F214=4,B214&amp;" - "&amp;C214,"")</f>
        <v>01.02.11.24 - CO151</v>
      </c>
      <c r="I214" s="52">
        <v>0</v>
      </c>
      <c r="J214" s="50">
        <f>IF(F214=4,SUMIFS(Tabela1[PAGO],Tabela1[CHAVE],'Controle EAP'!H214),SUMIFS(J:J,$G:$G,'Controle EAP'!G214&amp;"????"))</f>
        <v>0</v>
      </c>
      <c r="K214" s="14">
        <f t="shared" si="3"/>
        <v>0</v>
      </c>
    </row>
    <row r="215" spans="2:11" hidden="1" outlineLevel="3" x14ac:dyDescent="0.25">
      <c r="B215" s="51" t="s">
        <v>537</v>
      </c>
      <c r="C215" s="51" t="s">
        <v>538</v>
      </c>
      <c r="D215" s="52" t="s">
        <v>539</v>
      </c>
      <c r="E215" s="51" t="s">
        <v>1034</v>
      </c>
      <c r="F215" s="51">
        <v>4</v>
      </c>
      <c r="G215" s="51" t="s">
        <v>1216</v>
      </c>
      <c r="H215" s="51" t="str">
        <f>IF(F215=4,B215&amp;" - "&amp;C215,"")</f>
        <v>01.02.11.25 - C18873</v>
      </c>
      <c r="I215" s="52">
        <v>0</v>
      </c>
      <c r="J215" s="50">
        <f>IF(F215=4,SUMIFS(Tabela1[PAGO],Tabela1[CHAVE],'Controle EAP'!H215),SUMIFS(J:J,$G:$G,'Controle EAP'!G215&amp;"????"))</f>
        <v>0</v>
      </c>
      <c r="K215" s="14">
        <f t="shared" si="3"/>
        <v>0</v>
      </c>
    </row>
    <row r="216" spans="2:11" hidden="1" outlineLevel="3" x14ac:dyDescent="0.25">
      <c r="B216" s="51" t="s">
        <v>540</v>
      </c>
      <c r="C216" s="51" t="s">
        <v>541</v>
      </c>
      <c r="D216" s="52" t="s">
        <v>542</v>
      </c>
      <c r="E216" s="51" t="s">
        <v>1034</v>
      </c>
      <c r="F216" s="51">
        <v>4</v>
      </c>
      <c r="G216" s="51" t="s">
        <v>1217</v>
      </c>
      <c r="H216" s="51" t="str">
        <f>IF(F216=4,B216&amp;" - "&amp;C216,"")</f>
        <v>01.02.11.26 - C15213</v>
      </c>
      <c r="I216" s="52">
        <v>0</v>
      </c>
      <c r="J216" s="50">
        <f>IF(F216=4,SUMIFS(Tabela1[PAGO],Tabela1[CHAVE],'Controle EAP'!H216),SUMIFS(J:J,$G:$G,'Controle EAP'!G216&amp;"????"))</f>
        <v>0</v>
      </c>
      <c r="K216" s="14">
        <f t="shared" si="3"/>
        <v>0</v>
      </c>
    </row>
    <row r="217" spans="2:11" outlineLevel="2" collapsed="1" x14ac:dyDescent="0.25">
      <c r="B217" s="51" t="s">
        <v>543</v>
      </c>
      <c r="C217" s="51">
        <v>-1</v>
      </c>
      <c r="D217" s="52" t="s">
        <v>544</v>
      </c>
      <c r="E217" s="51" t="s">
        <v>100</v>
      </c>
      <c r="F217" s="51">
        <v>3</v>
      </c>
      <c r="G217" s="51" t="s">
        <v>1218</v>
      </c>
      <c r="H217" s="51" t="str">
        <f>IF(F217=4,B217&amp;" - "&amp;C217,"")</f>
        <v/>
      </c>
      <c r="I217" s="14">
        <f>SUMIFS(I:I,$G:$G,'Controle EAP'!G217&amp;"????")</f>
        <v>0</v>
      </c>
      <c r="J217" s="50">
        <f>IF(F217=4,SUMIFS(Tabela1[PAGO],Tabela1[CHAVE],'Controle EAP'!H217),SUMIFS(J:J,$G:$G,'Controle EAP'!G217&amp;"????"))</f>
        <v>0</v>
      </c>
      <c r="K217" s="14">
        <f t="shared" si="3"/>
        <v>0</v>
      </c>
    </row>
    <row r="218" spans="2:11" hidden="1" outlineLevel="3" x14ac:dyDescent="0.25">
      <c r="B218" s="51" t="s">
        <v>545</v>
      </c>
      <c r="C218" s="51" t="s">
        <v>546</v>
      </c>
      <c r="D218" s="52" t="s">
        <v>547</v>
      </c>
      <c r="E218" s="51" t="s">
        <v>1034</v>
      </c>
      <c r="F218" s="51">
        <v>4</v>
      </c>
      <c r="G218" s="51" t="s">
        <v>1219</v>
      </c>
      <c r="H218" s="51" t="str">
        <f>IF(F218=4,B218&amp;" - "&amp;C218,"")</f>
        <v>01.02.12.01 - CO433</v>
      </c>
      <c r="I218" s="52">
        <v>0</v>
      </c>
      <c r="J218" s="50">
        <f>IF(F218=4,SUMIFS(Tabela1[PAGO],Tabela1[CHAVE],'Controle EAP'!H218),SUMIFS(J:J,$G:$G,'Controle EAP'!G218&amp;"????"))</f>
        <v>0</v>
      </c>
      <c r="K218" s="14">
        <f t="shared" si="3"/>
        <v>0</v>
      </c>
    </row>
    <row r="219" spans="2:11" hidden="1" outlineLevel="3" x14ac:dyDescent="0.25">
      <c r="B219" s="51" t="s">
        <v>548</v>
      </c>
      <c r="C219" s="51" t="s">
        <v>549</v>
      </c>
      <c r="D219" s="52" t="s">
        <v>550</v>
      </c>
      <c r="E219" s="51" t="s">
        <v>1034</v>
      </c>
      <c r="F219" s="51">
        <v>4</v>
      </c>
      <c r="G219" s="51" t="s">
        <v>1220</v>
      </c>
      <c r="H219" s="51" t="str">
        <f>IF(F219=4,B219&amp;" - "&amp;C219,"")</f>
        <v>01.02.12.02 - CO163</v>
      </c>
      <c r="I219" s="52">
        <v>0</v>
      </c>
      <c r="J219" s="50">
        <f>IF(F219=4,SUMIFS(Tabela1[PAGO],Tabela1[CHAVE],'Controle EAP'!H219),SUMIFS(J:J,$G:$G,'Controle EAP'!G219&amp;"????"))</f>
        <v>0</v>
      </c>
      <c r="K219" s="14">
        <f t="shared" si="3"/>
        <v>0</v>
      </c>
    </row>
    <row r="220" spans="2:11" hidden="1" outlineLevel="3" x14ac:dyDescent="0.25">
      <c r="B220" s="51" t="s">
        <v>551</v>
      </c>
      <c r="C220" s="51" t="s">
        <v>552</v>
      </c>
      <c r="D220" s="52" t="s">
        <v>553</v>
      </c>
      <c r="E220" s="51" t="s">
        <v>1034</v>
      </c>
      <c r="F220" s="51">
        <v>4</v>
      </c>
      <c r="G220" s="51" t="s">
        <v>1221</v>
      </c>
      <c r="H220" s="51" t="str">
        <f>IF(F220=4,B220&amp;" - "&amp;C220,"")</f>
        <v>01.02.12.03 - CO435</v>
      </c>
      <c r="I220" s="52">
        <v>0</v>
      </c>
      <c r="J220" s="50">
        <f>IF(F220=4,SUMIFS(Tabela1[PAGO],Tabela1[CHAVE],'Controle EAP'!H220),SUMIFS(J:J,$G:$G,'Controle EAP'!G220&amp;"????"))</f>
        <v>0</v>
      </c>
      <c r="K220" s="14">
        <f t="shared" si="3"/>
        <v>0</v>
      </c>
    </row>
    <row r="221" spans="2:11" hidden="1" outlineLevel="3" x14ac:dyDescent="0.25">
      <c r="B221" s="51" t="s">
        <v>554</v>
      </c>
      <c r="C221" s="51" t="s">
        <v>546</v>
      </c>
      <c r="D221" s="52" t="s">
        <v>547</v>
      </c>
      <c r="E221" s="51" t="s">
        <v>1034</v>
      </c>
      <c r="F221" s="51">
        <v>4</v>
      </c>
      <c r="G221" s="51" t="s">
        <v>1222</v>
      </c>
      <c r="H221" s="51" t="str">
        <f>IF(F221=4,B221&amp;" - "&amp;C221,"")</f>
        <v>01.02.12.04 - CO433</v>
      </c>
      <c r="I221" s="52">
        <v>0</v>
      </c>
      <c r="J221" s="50">
        <f>IF(F221=4,SUMIFS(Tabela1[PAGO],Tabela1[CHAVE],'Controle EAP'!H221),SUMIFS(J:J,$G:$G,'Controle EAP'!G221&amp;"????"))</f>
        <v>0</v>
      </c>
      <c r="K221" s="14">
        <f t="shared" si="3"/>
        <v>0</v>
      </c>
    </row>
    <row r="222" spans="2:11" hidden="1" outlineLevel="3" x14ac:dyDescent="0.25">
      <c r="B222" s="51" t="s">
        <v>555</v>
      </c>
      <c r="C222" s="51" t="s">
        <v>556</v>
      </c>
      <c r="D222" s="52" t="s">
        <v>557</v>
      </c>
      <c r="E222" s="51" t="s">
        <v>1034</v>
      </c>
      <c r="F222" s="51">
        <v>4</v>
      </c>
      <c r="G222" s="51" t="s">
        <v>1223</v>
      </c>
      <c r="H222" s="51" t="str">
        <f>IF(F222=4,B222&amp;" - "&amp;C222,"")</f>
        <v>01.02.12.05 - CO165</v>
      </c>
      <c r="I222" s="52">
        <v>0</v>
      </c>
      <c r="J222" s="50">
        <f>IF(F222=4,SUMIFS(Tabela1[PAGO],Tabela1[CHAVE],'Controle EAP'!H222),SUMIFS(J:J,$G:$G,'Controle EAP'!G222&amp;"????"))</f>
        <v>0</v>
      </c>
      <c r="K222" s="14">
        <f t="shared" si="3"/>
        <v>0</v>
      </c>
    </row>
    <row r="223" spans="2:11" hidden="1" outlineLevel="3" x14ac:dyDescent="0.25">
      <c r="B223" s="51" t="s">
        <v>558</v>
      </c>
      <c r="C223" s="51" t="s">
        <v>559</v>
      </c>
      <c r="D223" s="52" t="s">
        <v>560</v>
      </c>
      <c r="E223" s="51" t="s">
        <v>1034</v>
      </c>
      <c r="F223" s="51">
        <v>4</v>
      </c>
      <c r="G223" s="51" t="s">
        <v>1224</v>
      </c>
      <c r="H223" s="51" t="str">
        <f>IF(F223=4,B223&amp;" - "&amp;C223,"")</f>
        <v>01.02.12.06 - CO164</v>
      </c>
      <c r="I223" s="52">
        <v>0</v>
      </c>
      <c r="J223" s="50">
        <f>IF(F223=4,SUMIFS(Tabela1[PAGO],Tabela1[CHAVE],'Controle EAP'!H223),SUMIFS(J:J,$G:$G,'Controle EAP'!G223&amp;"????"))</f>
        <v>0</v>
      </c>
      <c r="K223" s="14">
        <f t="shared" si="3"/>
        <v>0</v>
      </c>
    </row>
    <row r="224" spans="2:11" hidden="1" outlineLevel="3" x14ac:dyDescent="0.25">
      <c r="B224" s="51" t="s">
        <v>561</v>
      </c>
      <c r="C224" s="51" t="s">
        <v>260</v>
      </c>
      <c r="D224" s="52" t="s">
        <v>261</v>
      </c>
      <c r="E224" s="51" t="s">
        <v>1034</v>
      </c>
      <c r="F224" s="51">
        <v>4</v>
      </c>
      <c r="G224" s="51" t="s">
        <v>1225</v>
      </c>
      <c r="H224" s="51" t="str">
        <f>IF(F224=4,B224&amp;" - "&amp;C224,"")</f>
        <v>01.02.12.07 - C18745</v>
      </c>
      <c r="I224" s="52">
        <v>0</v>
      </c>
      <c r="J224" s="50">
        <f>IF(F224=4,SUMIFS(Tabela1[PAGO],Tabela1[CHAVE],'Controle EAP'!H224),SUMIFS(J:J,$G:$G,'Controle EAP'!G224&amp;"????"))</f>
        <v>0</v>
      </c>
      <c r="K224" s="14">
        <f t="shared" si="3"/>
        <v>0</v>
      </c>
    </row>
    <row r="225" spans="2:11" outlineLevel="2" collapsed="1" x14ac:dyDescent="0.25">
      <c r="B225" s="51" t="s">
        <v>562</v>
      </c>
      <c r="C225" s="51">
        <v>-1</v>
      </c>
      <c r="D225" s="52" t="s">
        <v>563</v>
      </c>
      <c r="E225" s="51" t="s">
        <v>100</v>
      </c>
      <c r="F225" s="51">
        <v>3</v>
      </c>
      <c r="G225" s="51" t="s">
        <v>1226</v>
      </c>
      <c r="H225" s="51" t="str">
        <f>IF(F225=4,B225&amp;" - "&amp;C225,"")</f>
        <v/>
      </c>
      <c r="I225" s="14">
        <f>SUMIFS(I:I,$G:$G,'Controle EAP'!G225&amp;"????")</f>
        <v>0</v>
      </c>
      <c r="J225" s="50">
        <f>IF(F225=4,SUMIFS(Tabela1[PAGO],Tabela1[CHAVE],'Controle EAP'!H225),SUMIFS(J:J,$G:$G,'Controle EAP'!G225&amp;"????"))</f>
        <v>0</v>
      </c>
      <c r="K225" s="14">
        <f t="shared" si="3"/>
        <v>0</v>
      </c>
    </row>
    <row r="226" spans="2:11" hidden="1" outlineLevel="3" x14ac:dyDescent="0.25">
      <c r="B226" s="51" t="s">
        <v>564</v>
      </c>
      <c r="C226" s="51" t="s">
        <v>565</v>
      </c>
      <c r="D226" s="52" t="s">
        <v>566</v>
      </c>
      <c r="E226" s="51" t="s">
        <v>1034</v>
      </c>
      <c r="F226" s="51">
        <v>4</v>
      </c>
      <c r="G226" s="51" t="s">
        <v>1227</v>
      </c>
      <c r="H226" s="51" t="str">
        <f>IF(F226=4,B226&amp;" - "&amp;C226,"")</f>
        <v>01.02.13.01 - CO154</v>
      </c>
      <c r="I226" s="52">
        <v>0</v>
      </c>
      <c r="J226" s="50">
        <f>IF(F226=4,SUMIFS(Tabela1[PAGO],Tabela1[CHAVE],'Controle EAP'!H226),SUMIFS(J:J,$G:$G,'Controle EAP'!G226&amp;"????"))</f>
        <v>0</v>
      </c>
      <c r="K226" s="14">
        <f t="shared" ref="K226:K289" si="4">I226-J226</f>
        <v>0</v>
      </c>
    </row>
    <row r="227" spans="2:11" hidden="1" outlineLevel="3" x14ac:dyDescent="0.25">
      <c r="B227" s="51" t="s">
        <v>567</v>
      </c>
      <c r="C227" s="51" t="s">
        <v>568</v>
      </c>
      <c r="D227" s="52" t="s">
        <v>569</v>
      </c>
      <c r="E227" s="51" t="s">
        <v>1034</v>
      </c>
      <c r="F227" s="51">
        <v>4</v>
      </c>
      <c r="G227" s="51" t="s">
        <v>1228</v>
      </c>
      <c r="H227" s="51" t="str">
        <f>IF(F227=4,B227&amp;" - "&amp;C227,"")</f>
        <v>01.02.13.02 - CO155</v>
      </c>
      <c r="I227" s="52">
        <v>0</v>
      </c>
      <c r="J227" s="50">
        <f>IF(F227=4,SUMIFS(Tabela1[PAGO],Tabela1[CHAVE],'Controle EAP'!H227),SUMIFS(J:J,$G:$G,'Controle EAP'!G227&amp;"????"))</f>
        <v>0</v>
      </c>
      <c r="K227" s="14">
        <f t="shared" si="4"/>
        <v>0</v>
      </c>
    </row>
    <row r="228" spans="2:11" hidden="1" outlineLevel="3" x14ac:dyDescent="0.25">
      <c r="B228" s="51" t="s">
        <v>570</v>
      </c>
      <c r="C228" s="51" t="s">
        <v>571</v>
      </c>
      <c r="D228" s="52" t="s">
        <v>572</v>
      </c>
      <c r="E228" s="51" t="s">
        <v>1034</v>
      </c>
      <c r="F228" s="51">
        <v>4</v>
      </c>
      <c r="G228" s="51" t="s">
        <v>1229</v>
      </c>
      <c r="H228" s="51" t="str">
        <f>IF(F228=4,B228&amp;" - "&amp;C228,"")</f>
        <v>01.02.13.03 - C14587</v>
      </c>
      <c r="I228" s="52">
        <v>0</v>
      </c>
      <c r="J228" s="50">
        <f>IF(F228=4,SUMIFS(Tabela1[PAGO],Tabela1[CHAVE],'Controle EAP'!H228),SUMIFS(J:J,$G:$G,'Controle EAP'!G228&amp;"????"))</f>
        <v>0</v>
      </c>
      <c r="K228" s="14">
        <f t="shared" si="4"/>
        <v>0</v>
      </c>
    </row>
    <row r="229" spans="2:11" hidden="1" outlineLevel="3" x14ac:dyDescent="0.25">
      <c r="B229" s="51" t="s">
        <v>573</v>
      </c>
      <c r="C229" s="51" t="s">
        <v>574</v>
      </c>
      <c r="D229" s="52" t="s">
        <v>575</v>
      </c>
      <c r="E229" s="51" t="s">
        <v>1034</v>
      </c>
      <c r="F229" s="51">
        <v>4</v>
      </c>
      <c r="G229" s="51" t="s">
        <v>1230</v>
      </c>
      <c r="H229" s="51" t="str">
        <f>IF(F229=4,B229&amp;" - "&amp;C229,"")</f>
        <v>01.02.13.04 - C19735</v>
      </c>
      <c r="I229" s="52">
        <v>0</v>
      </c>
      <c r="J229" s="50">
        <f>IF(F229=4,SUMIFS(Tabela1[PAGO],Tabela1[CHAVE],'Controle EAP'!H229),SUMIFS(J:J,$G:$G,'Controle EAP'!G229&amp;"????"))</f>
        <v>0</v>
      </c>
      <c r="K229" s="14">
        <f t="shared" si="4"/>
        <v>0</v>
      </c>
    </row>
    <row r="230" spans="2:11" outlineLevel="2" collapsed="1" x14ac:dyDescent="0.25">
      <c r="B230" s="51" t="s">
        <v>576</v>
      </c>
      <c r="C230" s="51">
        <v>-1</v>
      </c>
      <c r="D230" s="52" t="s">
        <v>577</v>
      </c>
      <c r="E230" s="51" t="s">
        <v>100</v>
      </c>
      <c r="F230" s="51">
        <v>3</v>
      </c>
      <c r="G230" s="51" t="s">
        <v>1231</v>
      </c>
      <c r="H230" s="51" t="str">
        <f>IF(F230=4,B230&amp;" - "&amp;C230,"")</f>
        <v/>
      </c>
      <c r="I230" s="14">
        <f>SUMIFS(I:I,$G:$G,'Controle EAP'!G230&amp;"????")</f>
        <v>0</v>
      </c>
      <c r="J230" s="50">
        <f>IF(F230=4,SUMIFS(Tabela1[PAGO],Tabela1[CHAVE],'Controle EAP'!H230),SUMIFS(J:J,$G:$G,'Controle EAP'!G230&amp;"????"))</f>
        <v>0</v>
      </c>
      <c r="K230" s="14">
        <f t="shared" si="4"/>
        <v>0</v>
      </c>
    </row>
    <row r="231" spans="2:11" hidden="1" outlineLevel="3" x14ac:dyDescent="0.25">
      <c r="B231" s="51" t="s">
        <v>578</v>
      </c>
      <c r="C231" s="51" t="s">
        <v>579</v>
      </c>
      <c r="D231" s="52" t="s">
        <v>580</v>
      </c>
      <c r="E231" s="51" t="s">
        <v>1034</v>
      </c>
      <c r="F231" s="51">
        <v>4</v>
      </c>
      <c r="G231" s="51" t="s">
        <v>1232</v>
      </c>
      <c r="H231" s="51" t="str">
        <f>IF(F231=4,B231&amp;" - "&amp;C231,"")</f>
        <v>01.02.14.01 - CO267</v>
      </c>
      <c r="I231" s="52">
        <v>0</v>
      </c>
      <c r="J231" s="50">
        <f>IF(F231=4,SUMIFS(Tabela1[PAGO],Tabela1[CHAVE],'Controle EAP'!H231),SUMIFS(J:J,$G:$G,'Controle EAP'!G231&amp;"????"))</f>
        <v>0</v>
      </c>
      <c r="K231" s="14">
        <f t="shared" si="4"/>
        <v>0</v>
      </c>
    </row>
    <row r="232" spans="2:11" hidden="1" outlineLevel="3" x14ac:dyDescent="0.25">
      <c r="B232" s="51" t="s">
        <v>581</v>
      </c>
      <c r="C232" s="51" t="s">
        <v>582</v>
      </c>
      <c r="D232" s="52" t="s">
        <v>583</v>
      </c>
      <c r="E232" s="51" t="s">
        <v>1034</v>
      </c>
      <c r="F232" s="51">
        <v>4</v>
      </c>
      <c r="G232" s="51" t="s">
        <v>1233</v>
      </c>
      <c r="H232" s="51" t="str">
        <f>IF(F232=4,B232&amp;" - "&amp;C232,"")</f>
        <v>01.02.14.02 - CO268</v>
      </c>
      <c r="I232" s="52">
        <v>0</v>
      </c>
      <c r="J232" s="50">
        <f>IF(F232=4,SUMIFS(Tabela1[PAGO],Tabela1[CHAVE],'Controle EAP'!H232),SUMIFS(J:J,$G:$G,'Controle EAP'!G232&amp;"????"))</f>
        <v>0</v>
      </c>
      <c r="K232" s="14">
        <f t="shared" si="4"/>
        <v>0</v>
      </c>
    </row>
    <row r="233" spans="2:11" hidden="1" outlineLevel="3" x14ac:dyDescent="0.25">
      <c r="B233" s="51" t="s">
        <v>584</v>
      </c>
      <c r="C233" s="51" t="s">
        <v>585</v>
      </c>
      <c r="D233" s="52" t="s">
        <v>586</v>
      </c>
      <c r="E233" s="51" t="s">
        <v>1034</v>
      </c>
      <c r="F233" s="51">
        <v>4</v>
      </c>
      <c r="G233" s="51" t="s">
        <v>1234</v>
      </c>
      <c r="H233" s="51" t="str">
        <f>IF(F233=4,B233&amp;" - "&amp;C233,"")</f>
        <v>01.02.14.03 - CO269</v>
      </c>
      <c r="I233" s="52">
        <v>0</v>
      </c>
      <c r="J233" s="50">
        <f>IF(F233=4,SUMIFS(Tabela1[PAGO],Tabela1[CHAVE],'Controle EAP'!H233),SUMIFS(J:J,$G:$G,'Controle EAP'!G233&amp;"????"))</f>
        <v>0</v>
      </c>
      <c r="K233" s="14">
        <f t="shared" si="4"/>
        <v>0</v>
      </c>
    </row>
    <row r="234" spans="2:11" hidden="1" outlineLevel="3" x14ac:dyDescent="0.25">
      <c r="B234" s="51" t="s">
        <v>587</v>
      </c>
      <c r="C234" s="51" t="s">
        <v>588</v>
      </c>
      <c r="D234" s="52" t="s">
        <v>589</v>
      </c>
      <c r="E234" s="51" t="s">
        <v>1034</v>
      </c>
      <c r="F234" s="51">
        <v>4</v>
      </c>
      <c r="G234" s="51" t="s">
        <v>1235</v>
      </c>
      <c r="H234" s="51" t="str">
        <f>IF(F234=4,B234&amp;" - "&amp;C234,"")</f>
        <v>01.02.14.04 - CO415</v>
      </c>
      <c r="I234" s="52">
        <v>0</v>
      </c>
      <c r="J234" s="50">
        <f>IF(F234=4,SUMIFS(Tabela1[PAGO],Tabela1[CHAVE],'Controle EAP'!H234),SUMIFS(J:J,$G:$G,'Controle EAP'!G234&amp;"????"))</f>
        <v>0</v>
      </c>
      <c r="K234" s="14">
        <f t="shared" si="4"/>
        <v>0</v>
      </c>
    </row>
    <row r="235" spans="2:11" hidden="1" outlineLevel="3" x14ac:dyDescent="0.25">
      <c r="B235" s="51" t="s">
        <v>590</v>
      </c>
      <c r="C235" s="51" t="s">
        <v>591</v>
      </c>
      <c r="D235" s="52" t="s">
        <v>592</v>
      </c>
      <c r="E235" s="51" t="s">
        <v>1034</v>
      </c>
      <c r="F235" s="51">
        <v>4</v>
      </c>
      <c r="G235" s="51" t="s">
        <v>1236</v>
      </c>
      <c r="H235" s="51" t="str">
        <f>IF(F235=4,B235&amp;" - "&amp;C235,"")</f>
        <v>01.02.14.05 - C18806</v>
      </c>
      <c r="I235" s="52">
        <v>0</v>
      </c>
      <c r="J235" s="50">
        <f>IF(F235=4,SUMIFS(Tabela1[PAGO],Tabela1[CHAVE],'Controle EAP'!H235),SUMIFS(J:J,$G:$G,'Controle EAP'!G235&amp;"????"))</f>
        <v>0</v>
      </c>
      <c r="K235" s="14">
        <f t="shared" si="4"/>
        <v>0</v>
      </c>
    </row>
    <row r="236" spans="2:11" outlineLevel="2" collapsed="1" x14ac:dyDescent="0.25">
      <c r="B236" s="51" t="s">
        <v>593</v>
      </c>
      <c r="C236" s="51">
        <v>-1</v>
      </c>
      <c r="D236" s="52" t="s">
        <v>594</v>
      </c>
      <c r="E236" s="51" t="s">
        <v>100</v>
      </c>
      <c r="F236" s="51">
        <v>3</v>
      </c>
      <c r="G236" s="51" t="s">
        <v>1237</v>
      </c>
      <c r="H236" s="51" t="str">
        <f>IF(F236=4,B236&amp;" - "&amp;C236,"")</f>
        <v/>
      </c>
      <c r="I236" s="14">
        <f>SUMIFS(I:I,$G:$G,'Controle EAP'!G236&amp;"????")</f>
        <v>0</v>
      </c>
      <c r="J236" s="50">
        <f>IF(F236=4,SUMIFS(Tabela1[PAGO],Tabela1[CHAVE],'Controle EAP'!H236),SUMIFS(J:J,$G:$G,'Controle EAP'!G236&amp;"????"))</f>
        <v>0</v>
      </c>
      <c r="K236" s="14">
        <f t="shared" si="4"/>
        <v>0</v>
      </c>
    </row>
    <row r="237" spans="2:11" hidden="1" outlineLevel="3" x14ac:dyDescent="0.25">
      <c r="B237" s="51" t="s">
        <v>595</v>
      </c>
      <c r="C237" s="51" t="s">
        <v>596</v>
      </c>
      <c r="D237" s="52" t="s">
        <v>597</v>
      </c>
      <c r="E237" s="51" t="s">
        <v>1034</v>
      </c>
      <c r="F237" s="51">
        <v>4</v>
      </c>
      <c r="G237" s="51" t="s">
        <v>1238</v>
      </c>
      <c r="H237" s="51" t="str">
        <f>IF(F237=4,B237&amp;" - "&amp;C237,"")</f>
        <v>01.02.15.01 - C13263</v>
      </c>
      <c r="I237" s="52">
        <v>0</v>
      </c>
      <c r="J237" s="50">
        <f>IF(F237=4,SUMIFS(Tabela1[PAGO],Tabela1[CHAVE],'Controle EAP'!H237),SUMIFS(J:J,$G:$G,'Controle EAP'!G237&amp;"????"))</f>
        <v>0</v>
      </c>
      <c r="K237" s="14">
        <f t="shared" si="4"/>
        <v>0</v>
      </c>
    </row>
    <row r="238" spans="2:11" hidden="1" outlineLevel="3" x14ac:dyDescent="0.25">
      <c r="B238" s="51" t="s">
        <v>598</v>
      </c>
      <c r="C238" s="51" t="s">
        <v>599</v>
      </c>
      <c r="D238" s="52" t="s">
        <v>600</v>
      </c>
      <c r="E238" s="51" t="s">
        <v>1034</v>
      </c>
      <c r="F238" s="51">
        <v>4</v>
      </c>
      <c r="G238" s="51" t="s">
        <v>1239</v>
      </c>
      <c r="H238" s="51" t="str">
        <f>IF(F238=4,B238&amp;" - "&amp;C238,"")</f>
        <v>01.02.15.02 - CO263</v>
      </c>
      <c r="I238" s="52">
        <v>0</v>
      </c>
      <c r="J238" s="50">
        <f>IF(F238=4,SUMIFS(Tabela1[PAGO],Tabela1[CHAVE],'Controle EAP'!H238),SUMIFS(J:J,$G:$G,'Controle EAP'!G238&amp;"????"))</f>
        <v>0</v>
      </c>
      <c r="K238" s="14">
        <f t="shared" si="4"/>
        <v>0</v>
      </c>
    </row>
    <row r="239" spans="2:11" hidden="1" outlineLevel="3" x14ac:dyDescent="0.25">
      <c r="B239" s="51" t="s">
        <v>601</v>
      </c>
      <c r="C239" s="51" t="s">
        <v>602</v>
      </c>
      <c r="D239" s="52" t="s">
        <v>603</v>
      </c>
      <c r="E239" s="51" t="s">
        <v>1034</v>
      </c>
      <c r="F239" s="51">
        <v>4</v>
      </c>
      <c r="G239" s="51" t="s">
        <v>1240</v>
      </c>
      <c r="H239" s="51" t="str">
        <f>IF(F239=4,B239&amp;" - "&amp;C239,"")</f>
        <v>01.02.15.03 - C19184</v>
      </c>
      <c r="I239" s="52">
        <v>0</v>
      </c>
      <c r="J239" s="50">
        <f>IF(F239=4,SUMIFS(Tabela1[PAGO],Tabela1[CHAVE],'Controle EAP'!H239),SUMIFS(J:J,$G:$G,'Controle EAP'!G239&amp;"????"))</f>
        <v>0</v>
      </c>
      <c r="K239" s="14">
        <f t="shared" si="4"/>
        <v>0</v>
      </c>
    </row>
    <row r="240" spans="2:11" hidden="1" outlineLevel="3" x14ac:dyDescent="0.25">
      <c r="B240" s="51" t="s">
        <v>604</v>
      </c>
      <c r="C240" s="51" t="s">
        <v>605</v>
      </c>
      <c r="D240" s="52" t="s">
        <v>606</v>
      </c>
      <c r="E240" s="51" t="s">
        <v>1034</v>
      </c>
      <c r="F240" s="51">
        <v>4</v>
      </c>
      <c r="G240" s="51" t="s">
        <v>1241</v>
      </c>
      <c r="H240" s="51" t="str">
        <f>IF(F240=4,B240&amp;" - "&amp;C240,"")</f>
        <v>01.02.15.04 - C12180</v>
      </c>
      <c r="I240" s="52">
        <v>0</v>
      </c>
      <c r="J240" s="50">
        <f>IF(F240=4,SUMIFS(Tabela1[PAGO],Tabela1[CHAVE],'Controle EAP'!H240),SUMIFS(J:J,$G:$G,'Controle EAP'!G240&amp;"????"))</f>
        <v>0</v>
      </c>
      <c r="K240" s="14">
        <f t="shared" si="4"/>
        <v>0</v>
      </c>
    </row>
    <row r="241" spans="2:11" hidden="1" outlineLevel="3" x14ac:dyDescent="0.25">
      <c r="B241" s="51" t="s">
        <v>607</v>
      </c>
      <c r="C241" s="51" t="s">
        <v>608</v>
      </c>
      <c r="D241" s="52" t="s">
        <v>609</v>
      </c>
      <c r="E241" s="51" t="s">
        <v>1034</v>
      </c>
      <c r="F241" s="51">
        <v>4</v>
      </c>
      <c r="G241" s="51" t="s">
        <v>1242</v>
      </c>
      <c r="H241" s="51" t="str">
        <f>IF(F241=4,B241&amp;" - "&amp;C241,"")</f>
        <v>01.02.15.05 - CO522</v>
      </c>
      <c r="I241" s="52">
        <v>0</v>
      </c>
      <c r="J241" s="50">
        <f>IF(F241=4,SUMIFS(Tabela1[PAGO],Tabela1[CHAVE],'Controle EAP'!H241),SUMIFS(J:J,$G:$G,'Controle EAP'!G241&amp;"????"))</f>
        <v>0</v>
      </c>
      <c r="K241" s="14">
        <f t="shared" si="4"/>
        <v>0</v>
      </c>
    </row>
    <row r="242" spans="2:11" hidden="1" outlineLevel="3" x14ac:dyDescent="0.25">
      <c r="B242" s="51" t="s">
        <v>610</v>
      </c>
      <c r="C242" s="51" t="s">
        <v>611</v>
      </c>
      <c r="D242" s="52" t="s">
        <v>612</v>
      </c>
      <c r="E242" s="51" t="s">
        <v>1034</v>
      </c>
      <c r="F242" s="51">
        <v>4</v>
      </c>
      <c r="G242" s="51" t="s">
        <v>1243</v>
      </c>
      <c r="H242" s="51" t="str">
        <f>IF(F242=4,B242&amp;" - "&amp;C242,"")</f>
        <v>01.02.15.06 - C17070</v>
      </c>
      <c r="I242" s="52">
        <v>0</v>
      </c>
      <c r="J242" s="50">
        <f>IF(F242=4,SUMIFS(Tabela1[PAGO],Tabela1[CHAVE],'Controle EAP'!H242),SUMIFS(J:J,$G:$G,'Controle EAP'!G242&amp;"????"))</f>
        <v>0</v>
      </c>
      <c r="K242" s="14">
        <f t="shared" si="4"/>
        <v>0</v>
      </c>
    </row>
    <row r="243" spans="2:11" hidden="1" outlineLevel="3" x14ac:dyDescent="0.25">
      <c r="B243" s="51" t="s">
        <v>613</v>
      </c>
      <c r="C243" s="51" t="s">
        <v>614</v>
      </c>
      <c r="D243" s="52" t="s">
        <v>615</v>
      </c>
      <c r="E243" s="51" t="s">
        <v>1034</v>
      </c>
      <c r="F243" s="51">
        <v>4</v>
      </c>
      <c r="G243" s="51" t="s">
        <v>1244</v>
      </c>
      <c r="H243" s="51" t="str">
        <f>IF(F243=4,B243&amp;" - "&amp;C243,"")</f>
        <v>01.02.15.07 - C18813</v>
      </c>
      <c r="I243" s="52">
        <v>0</v>
      </c>
      <c r="J243" s="50">
        <f>IF(F243=4,SUMIFS(Tabela1[PAGO],Tabela1[CHAVE],'Controle EAP'!H243),SUMIFS(J:J,$G:$G,'Controle EAP'!G243&amp;"????"))</f>
        <v>0</v>
      </c>
      <c r="K243" s="14">
        <f t="shared" si="4"/>
        <v>0</v>
      </c>
    </row>
    <row r="244" spans="2:11" hidden="1" outlineLevel="3" x14ac:dyDescent="0.25">
      <c r="B244" s="51" t="s">
        <v>616</v>
      </c>
      <c r="C244" s="51" t="s">
        <v>617</v>
      </c>
      <c r="D244" s="52" t="s">
        <v>618</v>
      </c>
      <c r="E244" s="51" t="s">
        <v>1034</v>
      </c>
      <c r="F244" s="51">
        <v>4</v>
      </c>
      <c r="G244" s="51" t="s">
        <v>1245</v>
      </c>
      <c r="H244" s="51" t="str">
        <f>IF(F244=4,B244&amp;" - "&amp;C244,"")</f>
        <v>01.02.15.08 - C12489</v>
      </c>
      <c r="I244" s="52">
        <v>0</v>
      </c>
      <c r="J244" s="50">
        <f>IF(F244=4,SUMIFS(Tabela1[PAGO],Tabela1[CHAVE],'Controle EAP'!H244),SUMIFS(J:J,$G:$G,'Controle EAP'!G244&amp;"????"))</f>
        <v>0</v>
      </c>
      <c r="K244" s="14">
        <f t="shared" si="4"/>
        <v>0</v>
      </c>
    </row>
    <row r="245" spans="2:11" hidden="1" outlineLevel="3" x14ac:dyDescent="0.25">
      <c r="B245" s="51" t="s">
        <v>619</v>
      </c>
      <c r="C245" s="51" t="s">
        <v>620</v>
      </c>
      <c r="D245" s="52" t="s">
        <v>621</v>
      </c>
      <c r="E245" s="51" t="s">
        <v>1034</v>
      </c>
      <c r="F245" s="51">
        <v>4</v>
      </c>
      <c r="G245" s="51" t="s">
        <v>1246</v>
      </c>
      <c r="H245" s="51" t="str">
        <f>IF(F245=4,B245&amp;" - "&amp;C245,"")</f>
        <v>01.02.15.09 - C15279</v>
      </c>
      <c r="I245" s="52">
        <v>0</v>
      </c>
      <c r="J245" s="50">
        <f>IF(F245=4,SUMIFS(Tabela1[PAGO],Tabela1[CHAVE],'Controle EAP'!H245),SUMIFS(J:J,$G:$G,'Controle EAP'!G245&amp;"????"))</f>
        <v>0</v>
      </c>
      <c r="K245" s="14">
        <f t="shared" si="4"/>
        <v>0</v>
      </c>
    </row>
    <row r="246" spans="2:11" hidden="1" outlineLevel="3" x14ac:dyDescent="0.25">
      <c r="B246" s="51" t="s">
        <v>622</v>
      </c>
      <c r="C246" s="51" t="s">
        <v>623</v>
      </c>
      <c r="D246" s="52" t="s">
        <v>624</v>
      </c>
      <c r="E246" s="51" t="s">
        <v>1034</v>
      </c>
      <c r="F246" s="51">
        <v>4</v>
      </c>
      <c r="G246" s="51" t="s">
        <v>1247</v>
      </c>
      <c r="H246" s="51" t="str">
        <f>IF(F246=4,B246&amp;" - "&amp;C246,"")</f>
        <v>01.02.15.10 - C00548</v>
      </c>
      <c r="I246" s="52">
        <v>0</v>
      </c>
      <c r="J246" s="50">
        <f>IF(F246=4,SUMIFS(Tabela1[PAGO],Tabela1[CHAVE],'Controle EAP'!H246),SUMIFS(J:J,$G:$G,'Controle EAP'!G246&amp;"????"))</f>
        <v>0</v>
      </c>
      <c r="K246" s="14">
        <f t="shared" si="4"/>
        <v>0</v>
      </c>
    </row>
    <row r="247" spans="2:11" hidden="1" outlineLevel="3" x14ac:dyDescent="0.25">
      <c r="B247" s="51" t="s">
        <v>625</v>
      </c>
      <c r="C247" s="51" t="s">
        <v>626</v>
      </c>
      <c r="D247" s="52" t="s">
        <v>627</v>
      </c>
      <c r="E247" s="51" t="s">
        <v>1034</v>
      </c>
      <c r="F247" s="51">
        <v>4</v>
      </c>
      <c r="G247" s="51" t="s">
        <v>1248</v>
      </c>
      <c r="H247" s="51" t="str">
        <f>IF(F247=4,B247&amp;" - "&amp;C247,"")</f>
        <v>01.02.15.11 - C00581</v>
      </c>
      <c r="I247" s="52">
        <v>0</v>
      </c>
      <c r="J247" s="50">
        <f>IF(F247=4,SUMIFS(Tabela1[PAGO],Tabela1[CHAVE],'Controle EAP'!H247),SUMIFS(J:J,$G:$G,'Controle EAP'!G247&amp;"????"))</f>
        <v>0</v>
      </c>
      <c r="K247" s="14">
        <f t="shared" si="4"/>
        <v>0</v>
      </c>
    </row>
    <row r="248" spans="2:11" hidden="1" outlineLevel="3" x14ac:dyDescent="0.25">
      <c r="B248" s="51" t="s">
        <v>628</v>
      </c>
      <c r="C248" s="51" t="s">
        <v>629</v>
      </c>
      <c r="D248" s="52" t="s">
        <v>630</v>
      </c>
      <c r="E248" s="51" t="s">
        <v>1034</v>
      </c>
      <c r="F248" s="51">
        <v>4</v>
      </c>
      <c r="G248" s="51" t="s">
        <v>1249</v>
      </c>
      <c r="H248" s="51" t="str">
        <f>IF(F248=4,B248&amp;" - "&amp;C248,"")</f>
        <v>01.02.15.12 - C00638</v>
      </c>
      <c r="I248" s="52">
        <v>0</v>
      </c>
      <c r="J248" s="50">
        <f>IF(F248=4,SUMIFS(Tabela1[PAGO],Tabela1[CHAVE],'Controle EAP'!H248),SUMIFS(J:J,$G:$G,'Controle EAP'!G248&amp;"????"))</f>
        <v>0</v>
      </c>
      <c r="K248" s="14">
        <f t="shared" si="4"/>
        <v>0</v>
      </c>
    </row>
    <row r="249" spans="2:11" outlineLevel="2" collapsed="1" x14ac:dyDescent="0.25">
      <c r="B249" s="51" t="s">
        <v>631</v>
      </c>
      <c r="C249" s="51">
        <v>-1</v>
      </c>
      <c r="D249" s="52" t="s">
        <v>632</v>
      </c>
      <c r="E249" s="51" t="s">
        <v>100</v>
      </c>
      <c r="F249" s="51">
        <v>3</v>
      </c>
      <c r="G249" s="51" t="s">
        <v>1250</v>
      </c>
      <c r="H249" s="51" t="str">
        <f>IF(F249=4,B249&amp;" - "&amp;C249,"")</f>
        <v/>
      </c>
      <c r="I249" s="14">
        <f>SUMIFS(I:I,$G:$G,'Controle EAP'!G249&amp;"????")</f>
        <v>0</v>
      </c>
      <c r="J249" s="50">
        <f>IF(F249=4,SUMIFS(Tabela1[PAGO],Tabela1[CHAVE],'Controle EAP'!H249),SUMIFS(J:J,$G:$G,'Controle EAP'!G249&amp;"????"))</f>
        <v>0</v>
      </c>
      <c r="K249" s="14">
        <f t="shared" si="4"/>
        <v>0</v>
      </c>
    </row>
    <row r="250" spans="2:11" hidden="1" outlineLevel="3" x14ac:dyDescent="0.25">
      <c r="B250" s="51" t="s">
        <v>633</v>
      </c>
      <c r="C250" s="51" t="s">
        <v>634</v>
      </c>
      <c r="D250" s="52" t="s">
        <v>635</v>
      </c>
      <c r="E250" s="51" t="s">
        <v>1034</v>
      </c>
      <c r="F250" s="51">
        <v>4</v>
      </c>
      <c r="G250" s="51" t="s">
        <v>1251</v>
      </c>
      <c r="H250" s="51" t="str">
        <f>IF(F250=4,B250&amp;" - "&amp;C250,"")</f>
        <v>01.02.16.01 - C17292</v>
      </c>
      <c r="I250" s="52">
        <v>0</v>
      </c>
      <c r="J250" s="50">
        <f>IF(F250=4,SUMIFS(Tabela1[PAGO],Tabela1[CHAVE],'Controle EAP'!H250),SUMIFS(J:J,$G:$G,'Controle EAP'!G250&amp;"????"))</f>
        <v>0</v>
      </c>
      <c r="K250" s="14">
        <f t="shared" si="4"/>
        <v>0</v>
      </c>
    </row>
    <row r="251" spans="2:11" hidden="1" outlineLevel="3" x14ac:dyDescent="0.25">
      <c r="B251" s="51" t="s">
        <v>636</v>
      </c>
      <c r="C251" s="51" t="s">
        <v>637</v>
      </c>
      <c r="D251" s="52" t="s">
        <v>638</v>
      </c>
      <c r="E251" s="51" t="s">
        <v>1034</v>
      </c>
      <c r="F251" s="51">
        <v>4</v>
      </c>
      <c r="G251" s="51" t="s">
        <v>1252</v>
      </c>
      <c r="H251" s="51" t="str">
        <f>IF(F251=4,B251&amp;" - "&amp;C251,"")</f>
        <v>01.02.16.02 - CO444</v>
      </c>
      <c r="I251" s="52">
        <v>0</v>
      </c>
      <c r="J251" s="50">
        <f>IF(F251=4,SUMIFS(Tabela1[PAGO],Tabela1[CHAVE],'Controle EAP'!H251),SUMIFS(J:J,$G:$G,'Controle EAP'!G251&amp;"????"))</f>
        <v>0</v>
      </c>
      <c r="K251" s="14">
        <f t="shared" si="4"/>
        <v>0</v>
      </c>
    </row>
    <row r="252" spans="2:11" hidden="1" outlineLevel="3" x14ac:dyDescent="0.25">
      <c r="B252" s="51" t="s">
        <v>639</v>
      </c>
      <c r="C252" s="51" t="s">
        <v>640</v>
      </c>
      <c r="D252" s="52" t="s">
        <v>641</v>
      </c>
      <c r="E252" s="51" t="s">
        <v>1034</v>
      </c>
      <c r="F252" s="51">
        <v>4</v>
      </c>
      <c r="G252" s="51" t="s">
        <v>1253</v>
      </c>
      <c r="H252" s="51" t="str">
        <f>IF(F252=4,B252&amp;" - "&amp;C252,"")</f>
        <v>01.02.16.03 - C19622</v>
      </c>
      <c r="I252" s="52">
        <v>0</v>
      </c>
      <c r="J252" s="50">
        <f>IF(F252=4,SUMIFS(Tabela1[PAGO],Tabela1[CHAVE],'Controle EAP'!H252),SUMIFS(J:J,$G:$G,'Controle EAP'!G252&amp;"????"))</f>
        <v>0</v>
      </c>
      <c r="K252" s="14">
        <f t="shared" si="4"/>
        <v>0</v>
      </c>
    </row>
    <row r="253" spans="2:11" hidden="1" outlineLevel="3" x14ac:dyDescent="0.25">
      <c r="B253" s="51" t="s">
        <v>642</v>
      </c>
      <c r="C253" s="51" t="s">
        <v>640</v>
      </c>
      <c r="D253" s="52" t="s">
        <v>641</v>
      </c>
      <c r="E253" s="51" t="s">
        <v>1034</v>
      </c>
      <c r="F253" s="51">
        <v>4</v>
      </c>
      <c r="G253" s="51" t="s">
        <v>1254</v>
      </c>
      <c r="H253" s="51" t="str">
        <f>IF(F253=4,B253&amp;" - "&amp;C253,"")</f>
        <v>01.02.16.04 - C19622</v>
      </c>
      <c r="I253" s="52">
        <v>0</v>
      </c>
      <c r="J253" s="50">
        <f>IF(F253=4,SUMIFS(Tabela1[PAGO],Tabela1[CHAVE],'Controle EAP'!H253),SUMIFS(J:J,$G:$G,'Controle EAP'!G253&amp;"????"))</f>
        <v>0</v>
      </c>
      <c r="K253" s="14">
        <f t="shared" si="4"/>
        <v>0</v>
      </c>
    </row>
    <row r="254" spans="2:11" hidden="1" outlineLevel="3" x14ac:dyDescent="0.25">
      <c r="B254" s="51" t="s">
        <v>643</v>
      </c>
      <c r="C254" s="51" t="s">
        <v>640</v>
      </c>
      <c r="D254" s="52" t="s">
        <v>641</v>
      </c>
      <c r="E254" s="51" t="s">
        <v>1034</v>
      </c>
      <c r="F254" s="51">
        <v>4</v>
      </c>
      <c r="G254" s="51" t="s">
        <v>1255</v>
      </c>
      <c r="H254" s="51" t="str">
        <f>IF(F254=4,B254&amp;" - "&amp;C254,"")</f>
        <v>01.02.16.05 - C19622</v>
      </c>
      <c r="I254" s="52">
        <v>0</v>
      </c>
      <c r="J254" s="50">
        <f>IF(F254=4,SUMIFS(Tabela1[PAGO],Tabela1[CHAVE],'Controle EAP'!H254),SUMIFS(J:J,$G:$G,'Controle EAP'!G254&amp;"????"))</f>
        <v>0</v>
      </c>
      <c r="K254" s="14">
        <f t="shared" si="4"/>
        <v>0</v>
      </c>
    </row>
    <row r="255" spans="2:11" hidden="1" outlineLevel="3" x14ac:dyDescent="0.25">
      <c r="B255" s="51" t="s">
        <v>644</v>
      </c>
      <c r="C255" s="51" t="s">
        <v>640</v>
      </c>
      <c r="D255" s="52" t="s">
        <v>641</v>
      </c>
      <c r="E255" s="51" t="s">
        <v>1034</v>
      </c>
      <c r="F255" s="51">
        <v>4</v>
      </c>
      <c r="G255" s="51" t="s">
        <v>1256</v>
      </c>
      <c r="H255" s="51" t="str">
        <f>IF(F255=4,B255&amp;" - "&amp;C255,"")</f>
        <v>01.02.16.06 - C19622</v>
      </c>
      <c r="I255" s="52">
        <v>0</v>
      </c>
      <c r="J255" s="50">
        <f>IF(F255=4,SUMIFS(Tabela1[PAGO],Tabela1[CHAVE],'Controle EAP'!H255),SUMIFS(J:J,$G:$G,'Controle EAP'!G255&amp;"????"))</f>
        <v>0</v>
      </c>
      <c r="K255" s="14">
        <f t="shared" si="4"/>
        <v>0</v>
      </c>
    </row>
    <row r="256" spans="2:11" hidden="1" outlineLevel="3" x14ac:dyDescent="0.25">
      <c r="B256" s="51" t="s">
        <v>645</v>
      </c>
      <c r="C256" s="51" t="s">
        <v>646</v>
      </c>
      <c r="D256" s="52" t="s">
        <v>647</v>
      </c>
      <c r="E256" s="51" t="s">
        <v>1034</v>
      </c>
      <c r="F256" s="51">
        <v>4</v>
      </c>
      <c r="G256" s="51" t="s">
        <v>1257</v>
      </c>
      <c r="H256" s="51" t="str">
        <f>IF(F256=4,B256&amp;" - "&amp;C256,"")</f>
        <v>01.02.16.07 - C19943</v>
      </c>
      <c r="I256" s="52">
        <v>0</v>
      </c>
      <c r="J256" s="50">
        <f>IF(F256=4,SUMIFS(Tabela1[PAGO],Tabela1[CHAVE],'Controle EAP'!H256),SUMIFS(J:J,$G:$G,'Controle EAP'!G256&amp;"????"))</f>
        <v>0</v>
      </c>
      <c r="K256" s="14">
        <f t="shared" si="4"/>
        <v>0</v>
      </c>
    </row>
    <row r="257" spans="2:11" hidden="1" outlineLevel="3" x14ac:dyDescent="0.25">
      <c r="B257" s="51" t="s">
        <v>648</v>
      </c>
      <c r="C257" s="51" t="s">
        <v>649</v>
      </c>
      <c r="D257" s="52" t="s">
        <v>650</v>
      </c>
      <c r="E257" s="51" t="s">
        <v>1034</v>
      </c>
      <c r="F257" s="51">
        <v>4</v>
      </c>
      <c r="G257" s="51" t="s">
        <v>1258</v>
      </c>
      <c r="H257" s="51" t="str">
        <f>IF(F257=4,B257&amp;" - "&amp;C257,"")</f>
        <v>01.02.16.08 - CO178</v>
      </c>
      <c r="I257" s="52">
        <v>0</v>
      </c>
      <c r="J257" s="50">
        <f>IF(F257=4,SUMIFS(Tabela1[PAGO],Tabela1[CHAVE],'Controle EAP'!H257),SUMIFS(J:J,$G:$G,'Controle EAP'!G257&amp;"????"))</f>
        <v>0</v>
      </c>
      <c r="K257" s="14">
        <f t="shared" si="4"/>
        <v>0</v>
      </c>
    </row>
    <row r="258" spans="2:11" hidden="1" outlineLevel="3" x14ac:dyDescent="0.25">
      <c r="B258" s="51" t="s">
        <v>651</v>
      </c>
      <c r="C258" s="51" t="s">
        <v>652</v>
      </c>
      <c r="D258" s="52" t="s">
        <v>653</v>
      </c>
      <c r="E258" s="51" t="s">
        <v>1034</v>
      </c>
      <c r="F258" s="51">
        <v>4</v>
      </c>
      <c r="G258" s="51" t="s">
        <v>1259</v>
      </c>
      <c r="H258" s="51" t="str">
        <f>IF(F258=4,B258&amp;" - "&amp;C258,"")</f>
        <v>01.02.16.09 - C15287</v>
      </c>
      <c r="I258" s="52">
        <v>0</v>
      </c>
      <c r="J258" s="50">
        <f>IF(F258=4,SUMIFS(Tabela1[PAGO],Tabela1[CHAVE],'Controle EAP'!H258),SUMIFS(J:J,$G:$G,'Controle EAP'!G258&amp;"????"))</f>
        <v>0</v>
      </c>
      <c r="K258" s="14">
        <f t="shared" si="4"/>
        <v>0</v>
      </c>
    </row>
    <row r="259" spans="2:11" hidden="1" outlineLevel="3" x14ac:dyDescent="0.25">
      <c r="B259" s="51" t="s">
        <v>654</v>
      </c>
      <c r="C259" s="51" t="s">
        <v>655</v>
      </c>
      <c r="D259" s="52" t="s">
        <v>656</v>
      </c>
      <c r="E259" s="51" t="s">
        <v>1034</v>
      </c>
      <c r="F259" s="51">
        <v>4</v>
      </c>
      <c r="G259" s="51" t="s">
        <v>1260</v>
      </c>
      <c r="H259" s="51" t="str">
        <f>IF(F259=4,B259&amp;" - "&amp;C259,"")</f>
        <v>01.02.16.10 - C15284</v>
      </c>
      <c r="I259" s="52">
        <v>0</v>
      </c>
      <c r="J259" s="50">
        <f>IF(F259=4,SUMIFS(Tabela1[PAGO],Tabela1[CHAVE],'Controle EAP'!H259),SUMIFS(J:J,$G:$G,'Controle EAP'!G259&amp;"????"))</f>
        <v>0</v>
      </c>
      <c r="K259" s="14">
        <f t="shared" si="4"/>
        <v>0</v>
      </c>
    </row>
    <row r="260" spans="2:11" hidden="1" outlineLevel="3" x14ac:dyDescent="0.25">
      <c r="B260" s="51" t="s">
        <v>657</v>
      </c>
      <c r="C260" s="51" t="s">
        <v>658</v>
      </c>
      <c r="D260" s="52" t="s">
        <v>659</v>
      </c>
      <c r="E260" s="51" t="s">
        <v>1034</v>
      </c>
      <c r="F260" s="51">
        <v>4</v>
      </c>
      <c r="G260" s="51" t="s">
        <v>1261</v>
      </c>
      <c r="H260" s="51" t="str">
        <f>IF(F260=4,B260&amp;" - "&amp;C260,"")</f>
        <v>01.02.16.11 - C19944</v>
      </c>
      <c r="I260" s="52">
        <v>0</v>
      </c>
      <c r="J260" s="50">
        <f>IF(F260=4,SUMIFS(Tabela1[PAGO],Tabela1[CHAVE],'Controle EAP'!H260),SUMIFS(J:J,$G:$G,'Controle EAP'!G260&amp;"????"))</f>
        <v>0</v>
      </c>
      <c r="K260" s="14">
        <f t="shared" si="4"/>
        <v>0</v>
      </c>
    </row>
    <row r="261" spans="2:11" hidden="1" outlineLevel="3" x14ac:dyDescent="0.25">
      <c r="B261" s="51" t="s">
        <v>660</v>
      </c>
      <c r="C261" s="51" t="s">
        <v>661</v>
      </c>
      <c r="D261" s="52" t="s">
        <v>662</v>
      </c>
      <c r="E261" s="51" t="s">
        <v>1034</v>
      </c>
      <c r="F261" s="51">
        <v>4</v>
      </c>
      <c r="G261" s="51" t="s">
        <v>1262</v>
      </c>
      <c r="H261" s="51" t="str">
        <f>IF(F261=4,B261&amp;" - "&amp;C261,"")</f>
        <v>01.02.16.12 - C00568</v>
      </c>
      <c r="I261" s="52">
        <v>0</v>
      </c>
      <c r="J261" s="50">
        <f>IF(F261=4,SUMIFS(Tabela1[PAGO],Tabela1[CHAVE],'Controle EAP'!H261),SUMIFS(J:J,$G:$G,'Controle EAP'!G261&amp;"????"))</f>
        <v>0</v>
      </c>
      <c r="K261" s="14">
        <f t="shared" si="4"/>
        <v>0</v>
      </c>
    </row>
    <row r="262" spans="2:11" hidden="1" outlineLevel="3" x14ac:dyDescent="0.25">
      <c r="B262" s="51" t="s">
        <v>663</v>
      </c>
      <c r="C262" s="51" t="s">
        <v>664</v>
      </c>
      <c r="D262" s="52" t="s">
        <v>665</v>
      </c>
      <c r="E262" s="51" t="s">
        <v>1034</v>
      </c>
      <c r="F262" s="51">
        <v>4</v>
      </c>
      <c r="G262" s="51" t="s">
        <v>1263</v>
      </c>
      <c r="H262" s="51" t="str">
        <f>IF(F262=4,B262&amp;" - "&amp;C262,"")</f>
        <v>01.02.16.13 - C18826</v>
      </c>
      <c r="I262" s="52">
        <v>0</v>
      </c>
      <c r="J262" s="50">
        <f>IF(F262=4,SUMIFS(Tabela1[PAGO],Tabela1[CHAVE],'Controle EAP'!H262),SUMIFS(J:J,$G:$G,'Controle EAP'!G262&amp;"????"))</f>
        <v>0</v>
      </c>
      <c r="K262" s="14">
        <f t="shared" si="4"/>
        <v>0</v>
      </c>
    </row>
    <row r="263" spans="2:11" hidden="1" outlineLevel="3" x14ac:dyDescent="0.25">
      <c r="B263" s="51" t="s">
        <v>666</v>
      </c>
      <c r="C263" s="51" t="s">
        <v>667</v>
      </c>
      <c r="D263" s="52" t="s">
        <v>668</v>
      </c>
      <c r="E263" s="51" t="s">
        <v>1034</v>
      </c>
      <c r="F263" s="51">
        <v>4</v>
      </c>
      <c r="G263" s="51" t="s">
        <v>1264</v>
      </c>
      <c r="H263" s="51" t="str">
        <f>IF(F263=4,B263&amp;" - "&amp;C263,"")</f>
        <v>01.02.16.14 - CO365</v>
      </c>
      <c r="I263" s="52">
        <v>0</v>
      </c>
      <c r="J263" s="50">
        <f>IF(F263=4,SUMIFS(Tabela1[PAGO],Tabela1[CHAVE],'Controle EAP'!H263),SUMIFS(J:J,$G:$G,'Controle EAP'!G263&amp;"????"))</f>
        <v>0</v>
      </c>
      <c r="K263" s="14">
        <f t="shared" si="4"/>
        <v>0</v>
      </c>
    </row>
    <row r="264" spans="2:11" hidden="1" outlineLevel="3" x14ac:dyDescent="0.25">
      <c r="B264" s="51" t="s">
        <v>669</v>
      </c>
      <c r="C264" s="51" t="s">
        <v>670</v>
      </c>
      <c r="D264" s="52" t="s">
        <v>671</v>
      </c>
      <c r="E264" s="51" t="s">
        <v>1034</v>
      </c>
      <c r="F264" s="51">
        <v>4</v>
      </c>
      <c r="G264" s="51" t="s">
        <v>1265</v>
      </c>
      <c r="H264" s="51" t="str">
        <f>IF(F264=4,B264&amp;" - "&amp;C264,"")</f>
        <v>01.02.16.15 - C18835</v>
      </c>
      <c r="I264" s="52">
        <v>0</v>
      </c>
      <c r="J264" s="50">
        <f>IF(F264=4,SUMIFS(Tabela1[PAGO],Tabela1[CHAVE],'Controle EAP'!H264),SUMIFS(J:J,$G:$G,'Controle EAP'!G264&amp;"????"))</f>
        <v>0</v>
      </c>
      <c r="K264" s="14">
        <f t="shared" si="4"/>
        <v>0</v>
      </c>
    </row>
    <row r="265" spans="2:11" hidden="1" outlineLevel="3" x14ac:dyDescent="0.25">
      <c r="B265" s="51" t="s">
        <v>672</v>
      </c>
      <c r="C265" s="51" t="s">
        <v>673</v>
      </c>
      <c r="D265" s="52" t="s">
        <v>674</v>
      </c>
      <c r="E265" s="51" t="s">
        <v>1034</v>
      </c>
      <c r="F265" s="51">
        <v>4</v>
      </c>
      <c r="G265" s="51" t="s">
        <v>1266</v>
      </c>
      <c r="H265" s="51" t="str">
        <f>IF(F265=4,B265&amp;" - "&amp;C265,"")</f>
        <v>01.02.16.18 - C19947</v>
      </c>
      <c r="I265" s="52">
        <v>0</v>
      </c>
      <c r="J265" s="50">
        <f>IF(F265=4,SUMIFS(Tabela1[PAGO],Tabela1[CHAVE],'Controle EAP'!H265),SUMIFS(J:J,$G:$G,'Controle EAP'!G265&amp;"????"))</f>
        <v>0</v>
      </c>
      <c r="K265" s="14">
        <f t="shared" si="4"/>
        <v>0</v>
      </c>
    </row>
    <row r="266" spans="2:11" hidden="1" outlineLevel="3" x14ac:dyDescent="0.25">
      <c r="B266" s="51" t="s">
        <v>675</v>
      </c>
      <c r="C266" s="51" t="s">
        <v>676</v>
      </c>
      <c r="D266" s="52" t="s">
        <v>677</v>
      </c>
      <c r="E266" s="51" t="s">
        <v>1034</v>
      </c>
      <c r="F266" s="51">
        <v>4</v>
      </c>
      <c r="G266" s="51" t="s">
        <v>1267</v>
      </c>
      <c r="H266" s="51" t="str">
        <f>IF(F266=4,B266&amp;" - "&amp;C266,"")</f>
        <v>01.02.16.19 - C19948</v>
      </c>
      <c r="I266" s="52">
        <v>0</v>
      </c>
      <c r="J266" s="50">
        <f>IF(F266=4,SUMIFS(Tabela1[PAGO],Tabela1[CHAVE],'Controle EAP'!H266),SUMIFS(J:J,$G:$G,'Controle EAP'!G266&amp;"????"))</f>
        <v>0</v>
      </c>
      <c r="K266" s="14">
        <f t="shared" si="4"/>
        <v>0</v>
      </c>
    </row>
    <row r="267" spans="2:11" hidden="1" outlineLevel="3" x14ac:dyDescent="0.25">
      <c r="B267" s="51" t="s">
        <v>678</v>
      </c>
      <c r="C267" s="51" t="s">
        <v>679</v>
      </c>
      <c r="D267" s="52" t="s">
        <v>680</v>
      </c>
      <c r="E267" s="51" t="s">
        <v>1034</v>
      </c>
      <c r="F267" s="51">
        <v>4</v>
      </c>
      <c r="G267" s="51" t="s">
        <v>1268</v>
      </c>
      <c r="H267" s="51" t="str">
        <f>IF(F267=4,B267&amp;" - "&amp;C267,"")</f>
        <v>01.02.16.20 - C19949</v>
      </c>
      <c r="I267" s="52">
        <v>0</v>
      </c>
      <c r="J267" s="50">
        <f>IF(F267=4,SUMIFS(Tabela1[PAGO],Tabela1[CHAVE],'Controle EAP'!H267),SUMIFS(J:J,$G:$G,'Controle EAP'!G267&amp;"????"))</f>
        <v>0</v>
      </c>
      <c r="K267" s="14">
        <f t="shared" si="4"/>
        <v>0</v>
      </c>
    </row>
    <row r="268" spans="2:11" hidden="1" outlineLevel="3" x14ac:dyDescent="0.25">
      <c r="B268" s="51" t="s">
        <v>681</v>
      </c>
      <c r="C268" s="51" t="s">
        <v>682</v>
      </c>
      <c r="D268" s="52" t="s">
        <v>683</v>
      </c>
      <c r="E268" s="51" t="s">
        <v>1034</v>
      </c>
      <c r="F268" s="51">
        <v>4</v>
      </c>
      <c r="G268" s="51" t="s">
        <v>1269</v>
      </c>
      <c r="H268" s="51" t="str">
        <f>IF(F268=4,B268&amp;" - "&amp;C268,"")</f>
        <v>01.02.16.21 - C19950</v>
      </c>
      <c r="I268" s="52">
        <v>0</v>
      </c>
      <c r="J268" s="50">
        <f>IF(F268=4,SUMIFS(Tabela1[PAGO],Tabela1[CHAVE],'Controle EAP'!H268),SUMIFS(J:J,$G:$G,'Controle EAP'!G268&amp;"????"))</f>
        <v>0</v>
      </c>
      <c r="K268" s="14">
        <f t="shared" si="4"/>
        <v>0</v>
      </c>
    </row>
    <row r="269" spans="2:11" hidden="1" outlineLevel="3" x14ac:dyDescent="0.25">
      <c r="B269" s="51" t="s">
        <v>684</v>
      </c>
      <c r="C269" s="51" t="s">
        <v>685</v>
      </c>
      <c r="D269" s="52" t="s">
        <v>686</v>
      </c>
      <c r="E269" s="51" t="s">
        <v>1034</v>
      </c>
      <c r="F269" s="51">
        <v>4</v>
      </c>
      <c r="G269" s="51" t="s">
        <v>1270</v>
      </c>
      <c r="H269" s="51" t="str">
        <f>IF(F269=4,B269&amp;" - "&amp;C269,"")</f>
        <v>01.02.16.22 - C19951</v>
      </c>
      <c r="I269" s="52">
        <v>0</v>
      </c>
      <c r="J269" s="50">
        <f>IF(F269=4,SUMIFS(Tabela1[PAGO],Tabela1[CHAVE],'Controle EAP'!H269),SUMIFS(J:J,$G:$G,'Controle EAP'!G269&amp;"????"))</f>
        <v>0</v>
      </c>
      <c r="K269" s="14">
        <f t="shared" si="4"/>
        <v>0</v>
      </c>
    </row>
    <row r="270" spans="2:11" hidden="1" outlineLevel="3" x14ac:dyDescent="0.25">
      <c r="B270" s="51" t="s">
        <v>687</v>
      </c>
      <c r="C270" s="51" t="s">
        <v>688</v>
      </c>
      <c r="D270" s="52" t="s">
        <v>689</v>
      </c>
      <c r="E270" s="51" t="s">
        <v>1034</v>
      </c>
      <c r="F270" s="51">
        <v>4</v>
      </c>
      <c r="G270" s="51" t="s">
        <v>1271</v>
      </c>
      <c r="H270" s="51" t="str">
        <f>IF(F270=4,B270&amp;" - "&amp;C270,"")</f>
        <v>01.02.16.23 - C19952</v>
      </c>
      <c r="I270" s="52">
        <v>0</v>
      </c>
      <c r="J270" s="50">
        <f>IF(F270=4,SUMIFS(Tabela1[PAGO],Tabela1[CHAVE],'Controle EAP'!H270),SUMIFS(J:J,$G:$G,'Controle EAP'!G270&amp;"????"))</f>
        <v>0</v>
      </c>
      <c r="K270" s="14">
        <f t="shared" si="4"/>
        <v>0</v>
      </c>
    </row>
    <row r="271" spans="2:11" hidden="1" outlineLevel="3" x14ac:dyDescent="0.25">
      <c r="B271" s="51" t="s">
        <v>690</v>
      </c>
      <c r="C271" s="51" t="s">
        <v>691</v>
      </c>
      <c r="D271" s="52" t="s">
        <v>692</v>
      </c>
      <c r="E271" s="51" t="s">
        <v>1034</v>
      </c>
      <c r="F271" s="51">
        <v>4</v>
      </c>
      <c r="G271" s="51" t="s">
        <v>1272</v>
      </c>
      <c r="H271" s="51" t="str">
        <f>IF(F271=4,B271&amp;" - "&amp;C271,"")</f>
        <v>01.02.16.24 - C19953</v>
      </c>
      <c r="I271" s="52">
        <v>0</v>
      </c>
      <c r="J271" s="50">
        <f>IF(F271=4,SUMIFS(Tabela1[PAGO],Tabela1[CHAVE],'Controle EAP'!H271),SUMIFS(J:J,$G:$G,'Controle EAP'!G271&amp;"????"))</f>
        <v>0</v>
      </c>
      <c r="K271" s="14">
        <f t="shared" si="4"/>
        <v>0</v>
      </c>
    </row>
    <row r="272" spans="2:11" hidden="1" outlineLevel="3" x14ac:dyDescent="0.25">
      <c r="B272" s="51" t="s">
        <v>693</v>
      </c>
      <c r="C272" s="51" t="s">
        <v>694</v>
      </c>
      <c r="D272" s="52" t="s">
        <v>695</v>
      </c>
      <c r="E272" s="51" t="s">
        <v>1034</v>
      </c>
      <c r="F272" s="51">
        <v>4</v>
      </c>
      <c r="G272" s="51" t="s">
        <v>1273</v>
      </c>
      <c r="H272" s="51" t="str">
        <f>IF(F272=4,B272&amp;" - "&amp;C272,"")</f>
        <v>01.02.16.25 - C19954</v>
      </c>
      <c r="I272" s="52">
        <v>0</v>
      </c>
      <c r="J272" s="50">
        <f>IF(F272=4,SUMIFS(Tabela1[PAGO],Tabela1[CHAVE],'Controle EAP'!H272),SUMIFS(J:J,$G:$G,'Controle EAP'!G272&amp;"????"))</f>
        <v>0</v>
      </c>
      <c r="K272" s="14">
        <f t="shared" si="4"/>
        <v>0</v>
      </c>
    </row>
    <row r="273" spans="2:11" hidden="1" outlineLevel="3" x14ac:dyDescent="0.25">
      <c r="B273" s="51" t="s">
        <v>696</v>
      </c>
      <c r="C273" s="51" t="s">
        <v>697</v>
      </c>
      <c r="D273" s="52" t="s">
        <v>698</v>
      </c>
      <c r="E273" s="51" t="s">
        <v>1034</v>
      </c>
      <c r="F273" s="51">
        <v>4</v>
      </c>
      <c r="G273" s="51" t="s">
        <v>1274</v>
      </c>
      <c r="H273" s="51" t="str">
        <f>IF(F273=4,B273&amp;" - "&amp;C273,"")</f>
        <v>01.02.16.26 - C19885</v>
      </c>
      <c r="I273" s="52">
        <v>0</v>
      </c>
      <c r="J273" s="50">
        <f>IF(F273=4,SUMIFS(Tabela1[PAGO],Tabela1[CHAVE],'Controle EAP'!H273),SUMIFS(J:J,$G:$G,'Controle EAP'!G273&amp;"????"))</f>
        <v>0</v>
      </c>
      <c r="K273" s="14">
        <f t="shared" si="4"/>
        <v>0</v>
      </c>
    </row>
    <row r="274" spans="2:11" hidden="1" outlineLevel="3" x14ac:dyDescent="0.25">
      <c r="B274" s="51" t="s">
        <v>699</v>
      </c>
      <c r="C274" s="51" t="s">
        <v>700</v>
      </c>
      <c r="D274" s="52" t="s">
        <v>701</v>
      </c>
      <c r="E274" s="51" t="s">
        <v>1034</v>
      </c>
      <c r="F274" s="51">
        <v>4</v>
      </c>
      <c r="G274" s="51" t="s">
        <v>1275</v>
      </c>
      <c r="H274" s="51" t="str">
        <f>IF(F274=4,B274&amp;" - "&amp;C274,"")</f>
        <v>01.02.16.27 - C19955</v>
      </c>
      <c r="I274" s="52">
        <v>0</v>
      </c>
      <c r="J274" s="50">
        <f>IF(F274=4,SUMIFS(Tabela1[PAGO],Tabela1[CHAVE],'Controle EAP'!H274),SUMIFS(J:J,$G:$G,'Controle EAP'!G274&amp;"????"))</f>
        <v>0</v>
      </c>
      <c r="K274" s="14">
        <f t="shared" si="4"/>
        <v>0</v>
      </c>
    </row>
    <row r="275" spans="2:11" hidden="1" outlineLevel="3" x14ac:dyDescent="0.25">
      <c r="B275" s="51" t="s">
        <v>702</v>
      </c>
      <c r="C275" s="51" t="s">
        <v>703</v>
      </c>
      <c r="D275" s="52" t="s">
        <v>704</v>
      </c>
      <c r="E275" s="51" t="s">
        <v>1034</v>
      </c>
      <c r="F275" s="51">
        <v>4</v>
      </c>
      <c r="G275" s="51" t="s">
        <v>1276</v>
      </c>
      <c r="H275" s="51" t="str">
        <f>IF(F275=4,B275&amp;" - "&amp;C275,"")</f>
        <v>01.02.16.28 - C19956</v>
      </c>
      <c r="I275" s="52">
        <v>0</v>
      </c>
      <c r="J275" s="50">
        <f>IF(F275=4,SUMIFS(Tabela1[PAGO],Tabela1[CHAVE],'Controle EAP'!H275),SUMIFS(J:J,$G:$G,'Controle EAP'!G275&amp;"????"))</f>
        <v>0</v>
      </c>
      <c r="K275" s="14">
        <f t="shared" si="4"/>
        <v>0</v>
      </c>
    </row>
    <row r="276" spans="2:11" hidden="1" outlineLevel="3" x14ac:dyDescent="0.25">
      <c r="B276" s="51" t="s">
        <v>705</v>
      </c>
      <c r="C276" s="51" t="s">
        <v>706</v>
      </c>
      <c r="D276" s="52" t="s">
        <v>707</v>
      </c>
      <c r="E276" s="51" t="s">
        <v>1034</v>
      </c>
      <c r="F276" s="51">
        <v>4</v>
      </c>
      <c r="G276" s="51" t="s">
        <v>1277</v>
      </c>
      <c r="H276" s="51" t="str">
        <f>IF(F276=4,B276&amp;" - "&amp;C276,"")</f>
        <v>01.02.16.29 - C19957</v>
      </c>
      <c r="I276" s="52">
        <v>0</v>
      </c>
      <c r="J276" s="50">
        <f>IF(F276=4,SUMIFS(Tabela1[PAGO],Tabela1[CHAVE],'Controle EAP'!H276),SUMIFS(J:J,$G:$G,'Controle EAP'!G276&amp;"????"))</f>
        <v>0</v>
      </c>
      <c r="K276" s="14">
        <f t="shared" si="4"/>
        <v>0</v>
      </c>
    </row>
    <row r="277" spans="2:11" hidden="1" outlineLevel="3" x14ac:dyDescent="0.25">
      <c r="B277" s="51" t="s">
        <v>708</v>
      </c>
      <c r="C277" s="51" t="s">
        <v>709</v>
      </c>
      <c r="D277" s="52" t="s">
        <v>710</v>
      </c>
      <c r="E277" s="51" t="s">
        <v>1034</v>
      </c>
      <c r="F277" s="51">
        <v>4</v>
      </c>
      <c r="G277" s="51" t="s">
        <v>1278</v>
      </c>
      <c r="H277" s="51" t="str">
        <f>IF(F277=4,B277&amp;" - "&amp;C277,"")</f>
        <v>01.02.16.30 - C19958</v>
      </c>
      <c r="I277" s="52">
        <v>0</v>
      </c>
      <c r="J277" s="50">
        <f>IF(F277=4,SUMIFS(Tabela1[PAGO],Tabela1[CHAVE],'Controle EAP'!H277),SUMIFS(J:J,$G:$G,'Controle EAP'!G277&amp;"????"))</f>
        <v>0</v>
      </c>
      <c r="K277" s="14">
        <f t="shared" si="4"/>
        <v>0</v>
      </c>
    </row>
    <row r="278" spans="2:11" hidden="1" outlineLevel="3" x14ac:dyDescent="0.25">
      <c r="B278" s="51" t="s">
        <v>711</v>
      </c>
      <c r="C278" s="51" t="s">
        <v>712</v>
      </c>
      <c r="D278" s="52" t="s">
        <v>713</v>
      </c>
      <c r="E278" s="51" t="s">
        <v>1034</v>
      </c>
      <c r="F278" s="51">
        <v>4</v>
      </c>
      <c r="G278" s="51" t="s">
        <v>1279</v>
      </c>
      <c r="H278" s="51" t="str">
        <f>IF(F278=4,B278&amp;" - "&amp;C278,"")</f>
        <v>01.02.16.31 - C19959</v>
      </c>
      <c r="I278" s="52">
        <v>0</v>
      </c>
      <c r="J278" s="50">
        <f>IF(F278=4,SUMIFS(Tabela1[PAGO],Tabela1[CHAVE],'Controle EAP'!H278),SUMIFS(J:J,$G:$G,'Controle EAP'!G278&amp;"????"))</f>
        <v>0</v>
      </c>
      <c r="K278" s="14">
        <f t="shared" si="4"/>
        <v>0</v>
      </c>
    </row>
    <row r="279" spans="2:11" hidden="1" outlineLevel="3" x14ac:dyDescent="0.25">
      <c r="B279" s="51" t="s">
        <v>714</v>
      </c>
      <c r="C279" s="51" t="s">
        <v>715</v>
      </c>
      <c r="D279" s="52" t="s">
        <v>716</v>
      </c>
      <c r="E279" s="51" t="s">
        <v>1034</v>
      </c>
      <c r="F279" s="51">
        <v>4</v>
      </c>
      <c r="G279" s="51" t="s">
        <v>1280</v>
      </c>
      <c r="H279" s="51" t="str">
        <f>IF(F279=4,B279&amp;" - "&amp;C279,"")</f>
        <v>01.02.16.32 - C19960</v>
      </c>
      <c r="I279" s="52">
        <v>0</v>
      </c>
      <c r="J279" s="50">
        <f>IF(F279=4,SUMIFS(Tabela1[PAGO],Tabela1[CHAVE],'Controle EAP'!H279),SUMIFS(J:J,$G:$G,'Controle EAP'!G279&amp;"????"))</f>
        <v>0</v>
      </c>
      <c r="K279" s="14">
        <f t="shared" si="4"/>
        <v>0</v>
      </c>
    </row>
    <row r="280" spans="2:11" hidden="1" outlineLevel="3" x14ac:dyDescent="0.25">
      <c r="B280" s="51" t="s">
        <v>717</v>
      </c>
      <c r="C280" s="51" t="s">
        <v>718</v>
      </c>
      <c r="D280" s="52" t="s">
        <v>719</v>
      </c>
      <c r="E280" s="51" t="s">
        <v>1034</v>
      </c>
      <c r="F280" s="51">
        <v>4</v>
      </c>
      <c r="G280" s="51" t="s">
        <v>1281</v>
      </c>
      <c r="H280" s="51"/>
      <c r="I280" s="52">
        <v>0</v>
      </c>
      <c r="J280" s="50">
        <f>IF(F280=4,SUMIFS(Tabela1[PAGO],Tabela1[CHAVE],'Controle EAP'!H280),SUMIFS(J:J,$G:$G,'Controle EAP'!G280&amp;"????"))</f>
        <v>0</v>
      </c>
      <c r="K280" s="14">
        <f t="shared" si="4"/>
        <v>0</v>
      </c>
    </row>
    <row r="281" spans="2:11" hidden="1" outlineLevel="3" x14ac:dyDescent="0.25">
      <c r="B281" s="51" t="s">
        <v>720</v>
      </c>
      <c r="C281" s="51" t="s">
        <v>721</v>
      </c>
      <c r="D281" s="52" t="s">
        <v>722</v>
      </c>
      <c r="E281" s="51" t="s">
        <v>1034</v>
      </c>
      <c r="F281" s="51">
        <v>4</v>
      </c>
      <c r="G281" s="51" t="s">
        <v>1282</v>
      </c>
      <c r="H281" s="51"/>
      <c r="I281" s="52">
        <v>0</v>
      </c>
      <c r="J281" s="50">
        <f>IF(F281=4,SUMIFS(Tabela1[PAGO],Tabela1[CHAVE],'Controle EAP'!H281),SUMIFS(J:J,$G:$G,'Controle EAP'!G281&amp;"????"))</f>
        <v>0</v>
      </c>
      <c r="K281" s="14">
        <f t="shared" si="4"/>
        <v>0</v>
      </c>
    </row>
    <row r="282" spans="2:11" hidden="1" outlineLevel="3" x14ac:dyDescent="0.25">
      <c r="B282" s="51" t="s">
        <v>723</v>
      </c>
      <c r="C282" s="51" t="s">
        <v>724</v>
      </c>
      <c r="D282" s="52" t="s">
        <v>725</v>
      </c>
      <c r="E282" s="51" t="s">
        <v>1034</v>
      </c>
      <c r="F282" s="51">
        <v>4</v>
      </c>
      <c r="G282" s="51" t="s">
        <v>1283</v>
      </c>
      <c r="H282" s="51"/>
      <c r="I282" s="52">
        <v>0</v>
      </c>
      <c r="J282" s="50">
        <f>IF(F282=4,SUMIFS(Tabela1[PAGO],Tabela1[CHAVE],'Controle EAP'!H282),SUMIFS(J:J,$G:$G,'Controle EAP'!G282&amp;"????"))</f>
        <v>0</v>
      </c>
      <c r="K282" s="14">
        <f t="shared" si="4"/>
        <v>0</v>
      </c>
    </row>
    <row r="283" spans="2:11" outlineLevel="2" collapsed="1" x14ac:dyDescent="0.25">
      <c r="B283" s="51" t="s">
        <v>726</v>
      </c>
      <c r="C283" s="51">
        <v>-1</v>
      </c>
      <c r="D283" s="52" t="s">
        <v>727</v>
      </c>
      <c r="E283" s="51" t="s">
        <v>100</v>
      </c>
      <c r="F283" s="51">
        <v>3</v>
      </c>
      <c r="G283" s="51" t="s">
        <v>1284</v>
      </c>
      <c r="H283" s="51"/>
      <c r="I283" s="14">
        <f>SUMIFS(I:I,$G:$G,'Controle EAP'!G283&amp;"????")</f>
        <v>0</v>
      </c>
      <c r="J283" s="50">
        <f>IF(F283=4,SUMIFS(Tabela1[PAGO],Tabela1[CHAVE],'Controle EAP'!H283),SUMIFS(J:J,$G:$G,'Controle EAP'!G283&amp;"????"))</f>
        <v>0</v>
      </c>
      <c r="K283" s="14">
        <f t="shared" si="4"/>
        <v>0</v>
      </c>
    </row>
    <row r="284" spans="2:11" hidden="1" outlineLevel="3" x14ac:dyDescent="0.25">
      <c r="B284" s="51" t="s">
        <v>728</v>
      </c>
      <c r="C284" s="51" t="s">
        <v>729</v>
      </c>
      <c r="D284" s="52" t="s">
        <v>730</v>
      </c>
      <c r="E284" s="51" t="s">
        <v>1034</v>
      </c>
      <c r="F284" s="51">
        <v>4</v>
      </c>
      <c r="G284" s="51" t="s">
        <v>1285</v>
      </c>
      <c r="H284" s="51"/>
      <c r="I284" s="52">
        <v>0</v>
      </c>
      <c r="J284" s="50">
        <f>IF(F284=4,SUMIFS(Tabela1[PAGO],Tabela1[CHAVE],'Controle EAP'!H284),SUMIFS(J:J,$G:$G,'Controle EAP'!G284&amp;"????"))</f>
        <v>0</v>
      </c>
      <c r="K284" s="14">
        <f t="shared" si="4"/>
        <v>0</v>
      </c>
    </row>
    <row r="285" spans="2:11" hidden="1" outlineLevel="3" x14ac:dyDescent="0.25">
      <c r="B285" s="51" t="s">
        <v>731</v>
      </c>
      <c r="C285" s="51" t="s">
        <v>732</v>
      </c>
      <c r="D285" s="52" t="s">
        <v>733</v>
      </c>
      <c r="E285" s="51" t="s">
        <v>1034</v>
      </c>
      <c r="F285" s="51">
        <v>4</v>
      </c>
      <c r="G285" s="51" t="s">
        <v>1286</v>
      </c>
      <c r="H285" s="51"/>
      <c r="I285" s="52">
        <v>0</v>
      </c>
      <c r="J285" s="50">
        <f>IF(F285=4,SUMIFS(Tabela1[PAGO],Tabela1[CHAVE],'Controle EAP'!H285),SUMIFS(J:J,$G:$G,'Controle EAP'!G285&amp;"????"))</f>
        <v>0</v>
      </c>
      <c r="K285" s="14">
        <f t="shared" si="4"/>
        <v>0</v>
      </c>
    </row>
    <row r="286" spans="2:11" hidden="1" outlineLevel="3" x14ac:dyDescent="0.25">
      <c r="B286" s="51" t="s">
        <v>734</v>
      </c>
      <c r="C286" s="51" t="s">
        <v>735</v>
      </c>
      <c r="D286" s="52" t="s">
        <v>736</v>
      </c>
      <c r="E286" s="51" t="s">
        <v>1034</v>
      </c>
      <c r="F286" s="51">
        <v>4</v>
      </c>
      <c r="G286" s="51" t="s">
        <v>1287</v>
      </c>
      <c r="H286" s="51"/>
      <c r="I286" s="52">
        <v>0</v>
      </c>
      <c r="J286" s="50">
        <f>IF(F286=4,SUMIFS(Tabela1[PAGO],Tabela1[CHAVE],'Controle EAP'!H286),SUMIFS(J:J,$G:$G,'Controle EAP'!G286&amp;"????"))</f>
        <v>0</v>
      </c>
      <c r="K286" s="14">
        <f t="shared" si="4"/>
        <v>0</v>
      </c>
    </row>
    <row r="287" spans="2:11" hidden="1" outlineLevel="3" x14ac:dyDescent="0.25">
      <c r="B287" s="51" t="s">
        <v>737</v>
      </c>
      <c r="C287" s="51" t="s">
        <v>738</v>
      </c>
      <c r="D287" s="52" t="s">
        <v>739</v>
      </c>
      <c r="E287" s="51" t="s">
        <v>1034</v>
      </c>
      <c r="F287" s="51">
        <v>4</v>
      </c>
      <c r="G287" s="51" t="s">
        <v>1288</v>
      </c>
      <c r="H287" s="51"/>
      <c r="I287" s="52">
        <v>0</v>
      </c>
      <c r="J287" s="50">
        <f>IF(F287=4,SUMIFS(Tabela1[PAGO],Tabela1[CHAVE],'Controle EAP'!H287),SUMIFS(J:J,$G:$G,'Controle EAP'!G287&amp;"????"))</f>
        <v>0</v>
      </c>
      <c r="K287" s="14">
        <f t="shared" si="4"/>
        <v>0</v>
      </c>
    </row>
    <row r="288" spans="2:11" hidden="1" outlineLevel="3" x14ac:dyDescent="0.25">
      <c r="B288" s="51" t="s">
        <v>740</v>
      </c>
      <c r="C288" s="51" t="s">
        <v>741</v>
      </c>
      <c r="D288" s="52" t="s">
        <v>742</v>
      </c>
      <c r="E288" s="51" t="s">
        <v>1034</v>
      </c>
      <c r="F288" s="51">
        <v>4</v>
      </c>
      <c r="G288" s="51" t="s">
        <v>1289</v>
      </c>
      <c r="H288" s="51"/>
      <c r="I288" s="52">
        <v>0</v>
      </c>
      <c r="J288" s="50">
        <f>IF(F288=4,SUMIFS(Tabela1[PAGO],Tabela1[CHAVE],'Controle EAP'!H288),SUMIFS(J:J,$G:$G,'Controle EAP'!G288&amp;"????"))</f>
        <v>0</v>
      </c>
      <c r="K288" s="14">
        <f t="shared" si="4"/>
        <v>0</v>
      </c>
    </row>
    <row r="289" spans="2:11" hidden="1" outlineLevel="3" x14ac:dyDescent="0.25">
      <c r="B289" s="51" t="s">
        <v>743</v>
      </c>
      <c r="C289" s="51" t="s">
        <v>744</v>
      </c>
      <c r="D289" s="52" t="s">
        <v>745</v>
      </c>
      <c r="E289" s="51" t="s">
        <v>1034</v>
      </c>
      <c r="F289" s="51">
        <v>4</v>
      </c>
      <c r="G289" s="51" t="s">
        <v>1290</v>
      </c>
      <c r="H289" s="51"/>
      <c r="I289" s="52">
        <v>0</v>
      </c>
      <c r="J289" s="50">
        <f>IF(F289=4,SUMIFS(Tabela1[PAGO],Tabela1[CHAVE],'Controle EAP'!H289),SUMIFS(J:J,$G:$G,'Controle EAP'!G289&amp;"????"))</f>
        <v>0</v>
      </c>
      <c r="K289" s="14">
        <f t="shared" si="4"/>
        <v>0</v>
      </c>
    </row>
    <row r="290" spans="2:11" hidden="1" outlineLevel="3" x14ac:dyDescent="0.25">
      <c r="B290" s="51" t="s">
        <v>746</v>
      </c>
      <c r="C290" s="51" t="s">
        <v>747</v>
      </c>
      <c r="D290" s="52" t="s">
        <v>748</v>
      </c>
      <c r="E290" s="51" t="s">
        <v>1034</v>
      </c>
      <c r="F290" s="51">
        <v>4</v>
      </c>
      <c r="G290" s="51" t="s">
        <v>1291</v>
      </c>
      <c r="H290" s="51"/>
      <c r="I290" s="52">
        <v>0</v>
      </c>
      <c r="J290" s="50">
        <f>IF(F290=4,SUMIFS(Tabela1[PAGO],Tabela1[CHAVE],'Controle EAP'!H290),SUMIFS(J:J,$G:$G,'Controle EAP'!G290&amp;"????"))</f>
        <v>0</v>
      </c>
      <c r="K290" s="14">
        <f t="shared" ref="K290:K333" si="5">I290-J290</f>
        <v>0</v>
      </c>
    </row>
    <row r="291" spans="2:11" hidden="1" outlineLevel="3" x14ac:dyDescent="0.25">
      <c r="B291" s="51" t="s">
        <v>749</v>
      </c>
      <c r="C291" s="51" t="s">
        <v>661</v>
      </c>
      <c r="D291" s="52" t="s">
        <v>662</v>
      </c>
      <c r="E291" s="51" t="s">
        <v>1034</v>
      </c>
      <c r="F291" s="51">
        <v>4</v>
      </c>
      <c r="G291" s="51" t="s">
        <v>1292</v>
      </c>
      <c r="H291" s="51"/>
      <c r="I291" s="52">
        <v>0</v>
      </c>
      <c r="J291" s="50">
        <f>IF(F291=4,SUMIFS(Tabela1[PAGO],Tabela1[CHAVE],'Controle EAP'!H291),SUMIFS(J:J,$G:$G,'Controle EAP'!G291&amp;"????"))</f>
        <v>0</v>
      </c>
      <c r="K291" s="14">
        <f t="shared" si="5"/>
        <v>0</v>
      </c>
    </row>
    <row r="292" spans="2:11" outlineLevel="2" collapsed="1" x14ac:dyDescent="0.25">
      <c r="B292" s="51" t="s">
        <v>750</v>
      </c>
      <c r="C292" s="51">
        <v>-1</v>
      </c>
      <c r="D292" s="52" t="s">
        <v>751</v>
      </c>
      <c r="E292" s="51" t="s">
        <v>100</v>
      </c>
      <c r="F292" s="51">
        <v>3</v>
      </c>
      <c r="G292" s="51" t="s">
        <v>1293</v>
      </c>
      <c r="H292" s="51"/>
      <c r="I292" s="14">
        <f>SUMIFS(I:I,$G:$G,'Controle EAP'!G292&amp;"????")</f>
        <v>0</v>
      </c>
      <c r="J292" s="50">
        <f>IF(F292=4,SUMIFS(Tabela1[PAGO],Tabela1[CHAVE],'Controle EAP'!H292),SUMIFS(J:J,$G:$G,'Controle EAP'!G292&amp;"????"))</f>
        <v>0</v>
      </c>
      <c r="K292" s="14">
        <f t="shared" si="5"/>
        <v>0</v>
      </c>
    </row>
    <row r="293" spans="2:11" hidden="1" outlineLevel="3" x14ac:dyDescent="0.25">
      <c r="B293" s="51" t="s">
        <v>752</v>
      </c>
      <c r="C293" s="51" t="s">
        <v>753</v>
      </c>
      <c r="D293" s="52" t="s">
        <v>754</v>
      </c>
      <c r="E293" s="51" t="s">
        <v>1034</v>
      </c>
      <c r="F293" s="51">
        <v>4</v>
      </c>
      <c r="G293" s="51" t="s">
        <v>1294</v>
      </c>
      <c r="H293" s="51"/>
      <c r="I293" s="52">
        <v>0</v>
      </c>
      <c r="J293" s="50">
        <f>IF(F293=4,SUMIFS(Tabela1[PAGO],Tabela1[CHAVE],'Controle EAP'!H293),SUMIFS(J:J,$G:$G,'Controle EAP'!G293&amp;"????"))</f>
        <v>0</v>
      </c>
      <c r="K293" s="14">
        <f t="shared" si="5"/>
        <v>0</v>
      </c>
    </row>
    <row r="294" spans="2:11" hidden="1" outlineLevel="3" x14ac:dyDescent="0.25">
      <c r="B294" s="51" t="s">
        <v>755</v>
      </c>
      <c r="C294" s="51" t="s">
        <v>756</v>
      </c>
      <c r="D294" s="52" t="s">
        <v>757</v>
      </c>
      <c r="E294" s="51" t="s">
        <v>1034</v>
      </c>
      <c r="F294" s="51">
        <v>4</v>
      </c>
      <c r="G294" s="51" t="s">
        <v>1295</v>
      </c>
      <c r="H294" s="51"/>
      <c r="I294" s="52">
        <v>0</v>
      </c>
      <c r="J294" s="50">
        <f>IF(F294=4,SUMIFS(Tabela1[PAGO],Tabela1[CHAVE],'Controle EAP'!H294),SUMIFS(J:J,$G:$G,'Controle EAP'!G294&amp;"????"))</f>
        <v>0</v>
      </c>
      <c r="K294" s="14">
        <f t="shared" si="5"/>
        <v>0</v>
      </c>
    </row>
    <row r="295" spans="2:11" outlineLevel="2" collapsed="1" x14ac:dyDescent="0.25">
      <c r="B295" s="51" t="s">
        <v>758</v>
      </c>
      <c r="C295" s="51">
        <v>-1</v>
      </c>
      <c r="D295" s="52" t="s">
        <v>759</v>
      </c>
      <c r="E295" s="51" t="s">
        <v>100</v>
      </c>
      <c r="F295" s="51">
        <v>3</v>
      </c>
      <c r="G295" s="51" t="s">
        <v>1296</v>
      </c>
      <c r="H295" s="51"/>
      <c r="I295" s="14">
        <f>SUMIFS(I:I,$G:$G,'Controle EAP'!G295&amp;"????")</f>
        <v>0</v>
      </c>
      <c r="J295" s="50">
        <f>IF(F295=4,SUMIFS(Tabela1[PAGO],Tabela1[CHAVE],'Controle EAP'!H295),SUMIFS(J:J,$G:$G,'Controle EAP'!G295&amp;"????"))</f>
        <v>0</v>
      </c>
      <c r="K295" s="14">
        <f t="shared" si="5"/>
        <v>0</v>
      </c>
    </row>
    <row r="296" spans="2:11" hidden="1" outlineLevel="3" x14ac:dyDescent="0.25">
      <c r="B296" s="51" t="s">
        <v>760</v>
      </c>
      <c r="C296" s="51" t="s">
        <v>761</v>
      </c>
      <c r="D296" s="52" t="s">
        <v>762</v>
      </c>
      <c r="E296" s="51" t="s">
        <v>59</v>
      </c>
      <c r="F296" s="51">
        <v>4</v>
      </c>
      <c r="G296" s="51" t="s">
        <v>1297</v>
      </c>
      <c r="H296" s="51"/>
      <c r="I296" s="52">
        <v>0</v>
      </c>
      <c r="J296" s="50">
        <f>IF(F296=4,SUMIFS(Tabela1[PAGO],Tabela1[CHAVE],'Controle EAP'!H296),SUMIFS(J:J,$G:$G,'Controle EAP'!G296&amp;"????"))</f>
        <v>0</v>
      </c>
      <c r="K296" s="14">
        <f t="shared" si="5"/>
        <v>0</v>
      </c>
    </row>
    <row r="297" spans="2:11" outlineLevel="2" collapsed="1" x14ac:dyDescent="0.25">
      <c r="B297" s="51" t="s">
        <v>763</v>
      </c>
      <c r="C297" s="51">
        <v>-1</v>
      </c>
      <c r="D297" s="52" t="s">
        <v>764</v>
      </c>
      <c r="E297" s="51" t="s">
        <v>100</v>
      </c>
      <c r="F297" s="51">
        <v>3</v>
      </c>
      <c r="G297" s="51" t="s">
        <v>1298</v>
      </c>
      <c r="H297" s="51"/>
      <c r="I297" s="14">
        <f>SUMIFS(I:I,$G:$G,'Controle EAP'!G297&amp;"????")</f>
        <v>0</v>
      </c>
      <c r="J297" s="50">
        <f>IF(F297=4,SUMIFS(Tabela1[PAGO],Tabela1[CHAVE],'Controle EAP'!H297),SUMIFS(J:J,$G:$G,'Controle EAP'!G297&amp;"????"))</f>
        <v>0</v>
      </c>
      <c r="K297" s="14">
        <f t="shared" si="5"/>
        <v>0</v>
      </c>
    </row>
    <row r="298" spans="2:11" hidden="1" outlineLevel="3" x14ac:dyDescent="0.25">
      <c r="B298" s="51" t="s">
        <v>765</v>
      </c>
      <c r="C298" s="51" t="s">
        <v>766</v>
      </c>
      <c r="D298" s="52" t="s">
        <v>767</v>
      </c>
      <c r="E298" s="51" t="s">
        <v>1034</v>
      </c>
      <c r="F298" s="51">
        <v>4</v>
      </c>
      <c r="G298" s="51" t="s">
        <v>1299</v>
      </c>
      <c r="H298" s="51"/>
      <c r="I298" s="52">
        <v>0</v>
      </c>
      <c r="J298" s="50">
        <f>IF(F298=4,SUMIFS(Tabela1[PAGO],Tabela1[CHAVE],'Controle EAP'!H298),SUMIFS(J:J,$G:$G,'Controle EAP'!G298&amp;"????"))</f>
        <v>0</v>
      </c>
      <c r="K298" s="14">
        <f t="shared" si="5"/>
        <v>0</v>
      </c>
    </row>
    <row r="299" spans="2:11" hidden="1" outlineLevel="3" x14ac:dyDescent="0.25">
      <c r="B299" s="51" t="s">
        <v>768</v>
      </c>
      <c r="C299" s="51" t="s">
        <v>769</v>
      </c>
      <c r="D299" s="52" t="s">
        <v>770</v>
      </c>
      <c r="E299" s="51" t="s">
        <v>1034</v>
      </c>
      <c r="F299" s="51">
        <v>4</v>
      </c>
      <c r="G299" s="51" t="s">
        <v>1300</v>
      </c>
      <c r="H299" s="51"/>
      <c r="I299" s="52">
        <v>0</v>
      </c>
      <c r="J299" s="50">
        <f>IF(F299=4,SUMIFS(Tabela1[PAGO],Tabela1[CHAVE],'Controle EAP'!H299),SUMIFS(J:J,$G:$G,'Controle EAP'!G299&amp;"????"))</f>
        <v>0</v>
      </c>
      <c r="K299" s="14">
        <f t="shared" si="5"/>
        <v>0</v>
      </c>
    </row>
    <row r="300" spans="2:11" hidden="1" outlineLevel="3" x14ac:dyDescent="0.25">
      <c r="B300" s="51" t="s">
        <v>771</v>
      </c>
      <c r="C300" s="51" t="s">
        <v>772</v>
      </c>
      <c r="D300" s="52" t="s">
        <v>773</v>
      </c>
      <c r="E300" s="51" t="s">
        <v>1034</v>
      </c>
      <c r="F300" s="51">
        <v>4</v>
      </c>
      <c r="G300" s="51" t="s">
        <v>1301</v>
      </c>
      <c r="H300" s="51"/>
      <c r="I300" s="52">
        <v>0</v>
      </c>
      <c r="J300" s="50">
        <f>IF(F300=4,SUMIFS(Tabela1[PAGO],Tabela1[CHAVE],'Controle EAP'!H300),SUMIFS(J:J,$G:$G,'Controle EAP'!G300&amp;"????"))</f>
        <v>0</v>
      </c>
      <c r="K300" s="14">
        <f t="shared" si="5"/>
        <v>0</v>
      </c>
    </row>
    <row r="301" spans="2:11" hidden="1" outlineLevel="3" x14ac:dyDescent="0.25">
      <c r="B301" s="51" t="s">
        <v>774</v>
      </c>
      <c r="C301" s="51" t="s">
        <v>775</v>
      </c>
      <c r="D301" s="52" t="s">
        <v>776</v>
      </c>
      <c r="E301" s="51" t="s">
        <v>1034</v>
      </c>
      <c r="F301" s="51">
        <v>4</v>
      </c>
      <c r="G301" s="51" t="s">
        <v>1302</v>
      </c>
      <c r="H301" s="51"/>
      <c r="I301" s="52">
        <v>0</v>
      </c>
      <c r="J301" s="50">
        <f>IF(F301=4,SUMIFS(Tabela1[PAGO],Tabela1[CHAVE],'Controle EAP'!H301),SUMIFS(J:J,$G:$G,'Controle EAP'!G301&amp;"????"))</f>
        <v>0</v>
      </c>
      <c r="K301" s="14">
        <f t="shared" si="5"/>
        <v>0</v>
      </c>
    </row>
    <row r="302" spans="2:11" hidden="1" outlineLevel="3" x14ac:dyDescent="0.25">
      <c r="B302" s="51" t="s">
        <v>777</v>
      </c>
      <c r="C302" s="51" t="s">
        <v>778</v>
      </c>
      <c r="D302" s="52" t="s">
        <v>779</v>
      </c>
      <c r="E302" s="51" t="s">
        <v>1034</v>
      </c>
      <c r="F302" s="51">
        <v>4</v>
      </c>
      <c r="G302" s="51" t="s">
        <v>1303</v>
      </c>
      <c r="H302" s="51"/>
      <c r="I302" s="52">
        <v>0</v>
      </c>
      <c r="J302" s="50">
        <f>IF(F302=4,SUMIFS(Tabela1[PAGO],Tabela1[CHAVE],'Controle EAP'!H302),SUMIFS(J:J,$G:$G,'Controle EAP'!G302&amp;"????"))</f>
        <v>0</v>
      </c>
      <c r="K302" s="14">
        <f t="shared" si="5"/>
        <v>0</v>
      </c>
    </row>
    <row r="303" spans="2:11" hidden="1" outlineLevel="3" x14ac:dyDescent="0.25">
      <c r="B303" s="51" t="s">
        <v>780</v>
      </c>
      <c r="C303" s="51" t="s">
        <v>781</v>
      </c>
      <c r="D303" s="52" t="s">
        <v>782</v>
      </c>
      <c r="E303" s="51" t="s">
        <v>1034</v>
      </c>
      <c r="F303" s="51">
        <v>4</v>
      </c>
      <c r="G303" s="51" t="s">
        <v>1304</v>
      </c>
      <c r="H303" s="51"/>
      <c r="I303" s="52">
        <v>0</v>
      </c>
      <c r="J303" s="50">
        <f>IF(F303=4,SUMIFS(Tabela1[PAGO],Tabela1[CHAVE],'Controle EAP'!H303),SUMIFS(J:J,$G:$G,'Controle EAP'!G303&amp;"????"))</f>
        <v>0</v>
      </c>
      <c r="K303" s="14">
        <f t="shared" si="5"/>
        <v>0</v>
      </c>
    </row>
    <row r="304" spans="2:11" hidden="1" outlineLevel="3" x14ac:dyDescent="0.25">
      <c r="B304" s="51" t="s">
        <v>783</v>
      </c>
      <c r="C304" s="51" t="s">
        <v>784</v>
      </c>
      <c r="D304" s="52" t="s">
        <v>785</v>
      </c>
      <c r="E304" s="51" t="s">
        <v>1034</v>
      </c>
      <c r="F304" s="51">
        <v>4</v>
      </c>
      <c r="G304" s="51" t="s">
        <v>1305</v>
      </c>
      <c r="H304" s="51"/>
      <c r="I304" s="52">
        <v>0</v>
      </c>
      <c r="J304" s="50">
        <f>IF(F304=4,SUMIFS(Tabela1[PAGO],Tabela1[CHAVE],'Controle EAP'!H304),SUMIFS(J:J,$G:$G,'Controle EAP'!G304&amp;"????"))</f>
        <v>0</v>
      </c>
      <c r="K304" s="14">
        <f t="shared" si="5"/>
        <v>0</v>
      </c>
    </row>
    <row r="305" spans="2:11" hidden="1" outlineLevel="3" x14ac:dyDescent="0.25">
      <c r="B305" s="51" t="s">
        <v>786</v>
      </c>
      <c r="C305" s="51" t="s">
        <v>787</v>
      </c>
      <c r="D305" s="52" t="s">
        <v>788</v>
      </c>
      <c r="E305" s="51" t="s">
        <v>1034</v>
      </c>
      <c r="F305" s="51">
        <v>4</v>
      </c>
      <c r="G305" s="51" t="s">
        <v>1306</v>
      </c>
      <c r="H305" s="51"/>
      <c r="I305" s="52">
        <v>0</v>
      </c>
      <c r="J305" s="50">
        <f>IF(F305=4,SUMIFS(Tabela1[PAGO],Tabela1[CHAVE],'Controle EAP'!H305),SUMIFS(J:J,$G:$G,'Controle EAP'!G305&amp;"????"))</f>
        <v>0</v>
      </c>
      <c r="K305" s="14">
        <f t="shared" si="5"/>
        <v>0</v>
      </c>
    </row>
    <row r="306" spans="2:11" hidden="1" outlineLevel="3" x14ac:dyDescent="0.25">
      <c r="B306" s="51" t="s">
        <v>789</v>
      </c>
      <c r="C306" s="51" t="s">
        <v>790</v>
      </c>
      <c r="D306" s="52" t="s">
        <v>791</v>
      </c>
      <c r="E306" s="51" t="s">
        <v>1034</v>
      </c>
      <c r="F306" s="51">
        <v>4</v>
      </c>
      <c r="G306" s="51" t="s">
        <v>1307</v>
      </c>
      <c r="H306" s="51"/>
      <c r="I306" s="52">
        <v>0</v>
      </c>
      <c r="J306" s="50">
        <f>IF(F306=4,SUMIFS(Tabela1[PAGO],Tabela1[CHAVE],'Controle EAP'!H306),SUMIFS(J:J,$G:$G,'Controle EAP'!G306&amp;"????"))</f>
        <v>0</v>
      </c>
      <c r="K306" s="14">
        <f t="shared" si="5"/>
        <v>0</v>
      </c>
    </row>
    <row r="307" spans="2:11" hidden="1" outlineLevel="3" x14ac:dyDescent="0.25">
      <c r="B307" s="51" t="s">
        <v>792</v>
      </c>
      <c r="C307" s="51" t="s">
        <v>793</v>
      </c>
      <c r="D307" s="52" t="s">
        <v>794</v>
      </c>
      <c r="E307" s="51" t="s">
        <v>1034</v>
      </c>
      <c r="F307" s="51">
        <v>4</v>
      </c>
      <c r="G307" s="51" t="s">
        <v>1308</v>
      </c>
      <c r="H307" s="51"/>
      <c r="I307" s="52">
        <v>0</v>
      </c>
      <c r="J307" s="50">
        <f>IF(F307=4,SUMIFS(Tabela1[PAGO],Tabela1[CHAVE],'Controle EAP'!H307),SUMIFS(J:J,$G:$G,'Controle EAP'!G307&amp;"????"))</f>
        <v>0</v>
      </c>
      <c r="K307" s="14">
        <f t="shared" si="5"/>
        <v>0</v>
      </c>
    </row>
    <row r="308" spans="2:11" hidden="1" outlineLevel="3" x14ac:dyDescent="0.25">
      <c r="B308" s="51" t="s">
        <v>795</v>
      </c>
      <c r="C308" s="51" t="s">
        <v>796</v>
      </c>
      <c r="D308" s="52" t="s">
        <v>797</v>
      </c>
      <c r="E308" s="51" t="s">
        <v>1034</v>
      </c>
      <c r="F308" s="51">
        <v>4</v>
      </c>
      <c r="G308" s="51" t="s">
        <v>1309</v>
      </c>
      <c r="H308" s="51"/>
      <c r="I308" s="52">
        <v>0</v>
      </c>
      <c r="J308" s="50">
        <f>IF(F308=4,SUMIFS(Tabela1[PAGO],Tabela1[CHAVE],'Controle EAP'!H308),SUMIFS(J:J,$G:$G,'Controle EAP'!G308&amp;"????"))</f>
        <v>0</v>
      </c>
      <c r="K308" s="14">
        <f t="shared" si="5"/>
        <v>0</v>
      </c>
    </row>
    <row r="309" spans="2:11" hidden="1" outlineLevel="3" x14ac:dyDescent="0.25">
      <c r="B309" s="51" t="s">
        <v>798</v>
      </c>
      <c r="C309" s="51" t="s">
        <v>799</v>
      </c>
      <c r="D309" s="52" t="s">
        <v>800</v>
      </c>
      <c r="E309" s="51" t="s">
        <v>1034</v>
      </c>
      <c r="F309" s="51">
        <v>4</v>
      </c>
      <c r="G309" s="51" t="s">
        <v>1310</v>
      </c>
      <c r="H309" s="51"/>
      <c r="I309" s="52">
        <v>0</v>
      </c>
      <c r="J309" s="50">
        <f>IF(F309=4,SUMIFS(Tabela1[PAGO],Tabela1[CHAVE],'Controle EAP'!H309),SUMIFS(J:J,$G:$G,'Controle EAP'!G309&amp;"????"))</f>
        <v>0</v>
      </c>
      <c r="K309" s="14">
        <f t="shared" si="5"/>
        <v>0</v>
      </c>
    </row>
    <row r="310" spans="2:11" hidden="1" outlineLevel="3" x14ac:dyDescent="0.25">
      <c r="B310" s="51" t="s">
        <v>801</v>
      </c>
      <c r="C310" s="51" t="s">
        <v>802</v>
      </c>
      <c r="D310" s="52" t="s">
        <v>803</v>
      </c>
      <c r="E310" s="51" t="s">
        <v>1034</v>
      </c>
      <c r="F310" s="51">
        <v>4</v>
      </c>
      <c r="G310" s="51" t="s">
        <v>1311</v>
      </c>
      <c r="H310" s="51"/>
      <c r="I310" s="52">
        <v>0</v>
      </c>
      <c r="J310" s="50">
        <f>IF(F310=4,SUMIFS(Tabela1[PAGO],Tabela1[CHAVE],'Controle EAP'!H310),SUMIFS(J:J,$G:$G,'Controle EAP'!G310&amp;"????"))</f>
        <v>0</v>
      </c>
      <c r="K310" s="14">
        <f t="shared" si="5"/>
        <v>0</v>
      </c>
    </row>
    <row r="311" spans="2:11" hidden="1" outlineLevel="3" x14ac:dyDescent="0.25">
      <c r="B311" s="51" t="s">
        <v>804</v>
      </c>
      <c r="C311" s="51" t="s">
        <v>805</v>
      </c>
      <c r="D311" s="52" t="s">
        <v>806</v>
      </c>
      <c r="E311" s="51" t="s">
        <v>1034</v>
      </c>
      <c r="F311" s="51">
        <v>4</v>
      </c>
      <c r="G311" s="51" t="s">
        <v>1312</v>
      </c>
      <c r="H311" s="51"/>
      <c r="I311" s="52">
        <v>0</v>
      </c>
      <c r="J311" s="50">
        <f>IF(F311=4,SUMIFS(Tabela1[PAGO],Tabela1[CHAVE],'Controle EAP'!H311),SUMIFS(J:J,$G:$G,'Controle EAP'!G311&amp;"????"))</f>
        <v>0</v>
      </c>
      <c r="K311" s="14">
        <f t="shared" si="5"/>
        <v>0</v>
      </c>
    </row>
    <row r="312" spans="2:11" hidden="1" outlineLevel="3" x14ac:dyDescent="0.25">
      <c r="B312" s="51" t="s">
        <v>807</v>
      </c>
      <c r="C312" s="51" t="s">
        <v>808</v>
      </c>
      <c r="D312" s="52" t="s">
        <v>809</v>
      </c>
      <c r="E312" s="51" t="s">
        <v>1034</v>
      </c>
      <c r="F312" s="51">
        <v>4</v>
      </c>
      <c r="G312" s="51" t="s">
        <v>1313</v>
      </c>
      <c r="H312" s="51"/>
      <c r="I312" s="52">
        <v>0</v>
      </c>
      <c r="J312" s="50">
        <f>IF(F312=4,SUMIFS(Tabela1[PAGO],Tabela1[CHAVE],'Controle EAP'!H312),SUMIFS(J:J,$G:$G,'Controle EAP'!G312&amp;"????"))</f>
        <v>0</v>
      </c>
      <c r="K312" s="14">
        <f t="shared" si="5"/>
        <v>0</v>
      </c>
    </row>
    <row r="313" spans="2:11" hidden="1" outlineLevel="3" x14ac:dyDescent="0.25">
      <c r="B313" s="51" t="s">
        <v>810</v>
      </c>
      <c r="C313" s="51" t="s">
        <v>811</v>
      </c>
      <c r="D313" s="52" t="s">
        <v>812</v>
      </c>
      <c r="E313" s="51" t="s">
        <v>1034</v>
      </c>
      <c r="F313" s="51">
        <v>4</v>
      </c>
      <c r="G313" s="51" t="s">
        <v>1314</v>
      </c>
      <c r="H313" s="51"/>
      <c r="I313" s="52">
        <v>0</v>
      </c>
      <c r="J313" s="50">
        <f>IF(F313=4,SUMIFS(Tabela1[PAGO],Tabela1[CHAVE],'Controle EAP'!H313),SUMIFS(J:J,$G:$G,'Controle EAP'!G313&amp;"????"))</f>
        <v>0</v>
      </c>
      <c r="K313" s="14">
        <f t="shared" si="5"/>
        <v>0</v>
      </c>
    </row>
    <row r="314" spans="2:11" hidden="1" outlineLevel="3" x14ac:dyDescent="0.25">
      <c r="B314" s="51" t="s">
        <v>813</v>
      </c>
      <c r="C314" s="51" t="s">
        <v>814</v>
      </c>
      <c r="D314" s="52" t="s">
        <v>815</v>
      </c>
      <c r="E314" s="51" t="s">
        <v>1034</v>
      </c>
      <c r="F314" s="51">
        <v>4</v>
      </c>
      <c r="G314" s="51" t="s">
        <v>1315</v>
      </c>
      <c r="H314" s="51"/>
      <c r="I314" s="52">
        <v>0</v>
      </c>
      <c r="J314" s="50">
        <f>IF(F314=4,SUMIFS(Tabela1[PAGO],Tabela1[CHAVE],'Controle EAP'!H314),SUMIFS(J:J,$G:$G,'Controle EAP'!G314&amp;"????"))</f>
        <v>0</v>
      </c>
      <c r="K314" s="14">
        <f t="shared" si="5"/>
        <v>0</v>
      </c>
    </row>
    <row r="315" spans="2:11" hidden="1" outlineLevel="3" x14ac:dyDescent="0.25">
      <c r="B315" s="51" t="s">
        <v>816</v>
      </c>
      <c r="C315" s="51" t="s">
        <v>817</v>
      </c>
      <c r="D315" s="52" t="s">
        <v>818</v>
      </c>
      <c r="E315" s="51" t="s">
        <v>1034</v>
      </c>
      <c r="F315" s="51">
        <v>4</v>
      </c>
      <c r="G315" s="51" t="s">
        <v>1316</v>
      </c>
      <c r="H315" s="51"/>
      <c r="I315" s="52">
        <v>0</v>
      </c>
      <c r="J315" s="50">
        <f>IF(F315=4,SUMIFS(Tabela1[PAGO],Tabela1[CHAVE],'Controle EAP'!H315),SUMIFS(J:J,$G:$G,'Controle EAP'!G315&amp;"????"))</f>
        <v>0</v>
      </c>
      <c r="K315" s="14">
        <f t="shared" si="5"/>
        <v>0</v>
      </c>
    </row>
    <row r="316" spans="2:11" hidden="1" outlineLevel="3" x14ac:dyDescent="0.25">
      <c r="B316" s="51" t="s">
        <v>819</v>
      </c>
      <c r="C316" s="51" t="s">
        <v>820</v>
      </c>
      <c r="D316" s="52" t="s">
        <v>821</v>
      </c>
      <c r="E316" s="51" t="s">
        <v>1034</v>
      </c>
      <c r="F316" s="51">
        <v>4</v>
      </c>
      <c r="G316" s="51" t="s">
        <v>1317</v>
      </c>
      <c r="H316" s="51"/>
      <c r="I316" s="52">
        <v>0</v>
      </c>
      <c r="J316" s="50">
        <f>IF(F316=4,SUMIFS(Tabela1[PAGO],Tabela1[CHAVE],'Controle EAP'!H316),SUMIFS(J:J,$G:$G,'Controle EAP'!G316&amp;"????"))</f>
        <v>0</v>
      </c>
      <c r="K316" s="14">
        <f t="shared" si="5"/>
        <v>0</v>
      </c>
    </row>
    <row r="317" spans="2:11" hidden="1" outlineLevel="3" x14ac:dyDescent="0.25">
      <c r="B317" s="51" t="s">
        <v>822</v>
      </c>
      <c r="C317" s="51" t="s">
        <v>823</v>
      </c>
      <c r="D317" s="52" t="s">
        <v>824</v>
      </c>
      <c r="E317" s="51" t="s">
        <v>1034</v>
      </c>
      <c r="F317" s="51">
        <v>4</v>
      </c>
      <c r="G317" s="51" t="s">
        <v>1318</v>
      </c>
      <c r="H317" s="51"/>
      <c r="I317" s="52">
        <v>0</v>
      </c>
      <c r="J317" s="50">
        <f>IF(F317=4,SUMIFS(Tabela1[PAGO],Tabela1[CHAVE],'Controle EAP'!H317),SUMIFS(J:J,$G:$G,'Controle EAP'!G317&amp;"????"))</f>
        <v>0</v>
      </c>
      <c r="K317" s="14">
        <f t="shared" si="5"/>
        <v>0</v>
      </c>
    </row>
    <row r="318" spans="2:11" outlineLevel="1" x14ac:dyDescent="0.25">
      <c r="B318" s="51" t="s">
        <v>825</v>
      </c>
      <c r="C318" s="51">
        <v>-1</v>
      </c>
      <c r="D318" s="52" t="s">
        <v>826</v>
      </c>
      <c r="E318" s="51" t="s">
        <v>100</v>
      </c>
      <c r="F318" s="51">
        <v>2</v>
      </c>
      <c r="G318" s="51" t="s">
        <v>1319</v>
      </c>
      <c r="H318" s="51"/>
      <c r="I318" s="14">
        <f>SUMIFS(I:I,$G:$G,'Controle EAP'!G318&amp;"????")</f>
        <v>0</v>
      </c>
      <c r="J318" s="50">
        <f>IF(F318=4,SUMIFS(Tabela1[PAGO],Tabela1[CHAVE],'Controle EAP'!H318),SUMIFS(J:J,$G:$G,'Controle EAP'!G318&amp;"????"))</f>
        <v>0</v>
      </c>
      <c r="K318" s="14">
        <f t="shared" si="5"/>
        <v>0</v>
      </c>
    </row>
    <row r="319" spans="2:11" outlineLevel="2" collapsed="1" x14ac:dyDescent="0.25">
      <c r="B319" s="51" t="s">
        <v>827</v>
      </c>
      <c r="C319" s="51">
        <v>-1</v>
      </c>
      <c r="D319" s="52" t="s">
        <v>826</v>
      </c>
      <c r="E319" s="51" t="s">
        <v>100</v>
      </c>
      <c r="F319" s="51">
        <v>3</v>
      </c>
      <c r="G319" s="51" t="s">
        <v>1320</v>
      </c>
      <c r="H319" s="51"/>
      <c r="I319" s="14">
        <f>SUMIFS(I:I,$G:$G,'Controle EAP'!G319&amp;"????")</f>
        <v>0</v>
      </c>
      <c r="J319" s="50">
        <f>IF(F319=4,SUMIFS(Tabela1[PAGO],Tabela1[CHAVE],'Controle EAP'!H319),SUMIFS(J:J,$G:$G,'Controle EAP'!G319&amp;"????"))</f>
        <v>0</v>
      </c>
      <c r="K319" s="14">
        <f t="shared" si="5"/>
        <v>0</v>
      </c>
    </row>
    <row r="320" spans="2:11" hidden="1" outlineLevel="3" x14ac:dyDescent="0.25">
      <c r="B320" s="51" t="s">
        <v>828</v>
      </c>
      <c r="C320" s="51" t="s">
        <v>829</v>
      </c>
      <c r="D320" s="52" t="s">
        <v>830</v>
      </c>
      <c r="E320" s="51" t="s">
        <v>1034</v>
      </c>
      <c r="F320" s="51">
        <v>4</v>
      </c>
      <c r="G320" s="51" t="s">
        <v>1321</v>
      </c>
      <c r="H320" s="51"/>
      <c r="I320" s="52">
        <v>0</v>
      </c>
      <c r="J320" s="50">
        <f>IF(F320=4,SUMIFS(Tabela1[PAGO],Tabela1[CHAVE],'Controle EAP'!H320),SUMIFS(J:J,$G:$G,'Controle EAP'!G320&amp;"????"))</f>
        <v>0</v>
      </c>
      <c r="K320" s="14">
        <f t="shared" si="5"/>
        <v>0</v>
      </c>
    </row>
    <row r="321" spans="2:11" hidden="1" outlineLevel="3" x14ac:dyDescent="0.25">
      <c r="B321" s="51" t="s">
        <v>831</v>
      </c>
      <c r="C321" s="51" t="s">
        <v>832</v>
      </c>
      <c r="D321" s="52" t="s">
        <v>833</v>
      </c>
      <c r="E321" s="51" t="s">
        <v>1034</v>
      </c>
      <c r="F321" s="51">
        <v>4</v>
      </c>
      <c r="G321" s="51" t="s">
        <v>1322</v>
      </c>
      <c r="H321" s="51"/>
      <c r="I321" s="52">
        <v>0</v>
      </c>
      <c r="J321" s="50">
        <f>IF(F321=4,SUMIFS(Tabela1[PAGO],Tabela1[CHAVE],'Controle EAP'!H321),SUMIFS(J:J,$G:$G,'Controle EAP'!G321&amp;"????"))</f>
        <v>0</v>
      </c>
      <c r="K321" s="14">
        <f t="shared" si="5"/>
        <v>0</v>
      </c>
    </row>
    <row r="322" spans="2:11" hidden="1" outlineLevel="3" x14ac:dyDescent="0.25">
      <c r="B322" s="51" t="s">
        <v>834</v>
      </c>
      <c r="C322" s="51" t="s">
        <v>835</v>
      </c>
      <c r="D322" s="52" t="s">
        <v>836</v>
      </c>
      <c r="E322" s="51" t="s">
        <v>1034</v>
      </c>
      <c r="F322" s="51">
        <v>4</v>
      </c>
      <c r="G322" s="51" t="s">
        <v>1323</v>
      </c>
      <c r="H322" s="51"/>
      <c r="I322" s="52">
        <v>0</v>
      </c>
      <c r="J322" s="50">
        <f>IF(F322=4,SUMIFS(Tabela1[PAGO],Tabela1[CHAVE],'Controle EAP'!H322),SUMIFS(J:J,$G:$G,'Controle EAP'!G322&amp;"????"))</f>
        <v>0</v>
      </c>
      <c r="K322" s="14">
        <f t="shared" si="5"/>
        <v>0</v>
      </c>
    </row>
    <row r="323" spans="2:11" hidden="1" outlineLevel="3" x14ac:dyDescent="0.25">
      <c r="B323" s="51" t="s">
        <v>837</v>
      </c>
      <c r="C323" s="51" t="s">
        <v>838</v>
      </c>
      <c r="D323" s="52" t="s">
        <v>839</v>
      </c>
      <c r="E323" s="51" t="s">
        <v>1034</v>
      </c>
      <c r="F323" s="51">
        <v>4</v>
      </c>
      <c r="G323" s="51" t="s">
        <v>1324</v>
      </c>
      <c r="H323" s="51"/>
      <c r="I323" s="52">
        <v>0</v>
      </c>
      <c r="J323" s="50">
        <f>IF(F323=4,SUMIFS(Tabela1[PAGO],Tabela1[CHAVE],'Controle EAP'!H323),SUMIFS(J:J,$G:$G,'Controle EAP'!G323&amp;"????"))</f>
        <v>0</v>
      </c>
      <c r="K323" s="14">
        <f t="shared" si="5"/>
        <v>0</v>
      </c>
    </row>
    <row r="324" spans="2:11" outlineLevel="1" x14ac:dyDescent="0.25">
      <c r="B324" s="51" t="s">
        <v>840</v>
      </c>
      <c r="C324" s="51">
        <v>-1</v>
      </c>
      <c r="D324" s="52" t="s">
        <v>841</v>
      </c>
      <c r="E324" s="51" t="s">
        <v>100</v>
      </c>
      <c r="F324" s="51">
        <v>2</v>
      </c>
      <c r="G324" s="51" t="s">
        <v>1325</v>
      </c>
      <c r="H324" s="51"/>
      <c r="I324" s="14">
        <f>SUMIFS(I:I,$G:$G,'Controle EAP'!G324&amp;"????")</f>
        <v>0</v>
      </c>
      <c r="J324" s="50">
        <f>IF(F324=4,SUMIFS(Tabela1[PAGO],Tabela1[CHAVE],'Controle EAP'!H324),SUMIFS(J:J,$G:$G,'Controle EAP'!G324&amp;"????"))</f>
        <v>0</v>
      </c>
      <c r="K324" s="14">
        <f t="shared" si="5"/>
        <v>0</v>
      </c>
    </row>
    <row r="325" spans="2:11" outlineLevel="2" collapsed="1" x14ac:dyDescent="0.25">
      <c r="B325" s="51" t="s">
        <v>842</v>
      </c>
      <c r="C325" s="51">
        <v>-1</v>
      </c>
      <c r="D325" s="52" t="s">
        <v>841</v>
      </c>
      <c r="E325" s="51" t="s">
        <v>100</v>
      </c>
      <c r="F325" s="51">
        <v>3</v>
      </c>
      <c r="G325" s="51" t="s">
        <v>1326</v>
      </c>
      <c r="H325" s="51"/>
      <c r="I325" s="14">
        <f>SUMIFS(I:I,$G:$G,'Controle EAP'!G325&amp;"????")</f>
        <v>0</v>
      </c>
      <c r="J325" s="50">
        <f>IF(F325=4,SUMIFS(Tabela1[PAGO],Tabela1[CHAVE],'Controle EAP'!H325),SUMIFS(J:J,$G:$G,'Controle EAP'!G325&amp;"????"))</f>
        <v>0</v>
      </c>
      <c r="K325" s="14">
        <f t="shared" si="5"/>
        <v>0</v>
      </c>
    </row>
    <row r="326" spans="2:11" hidden="1" outlineLevel="3" x14ac:dyDescent="0.25">
      <c r="B326" s="51" t="s">
        <v>843</v>
      </c>
      <c r="C326" s="51" t="s">
        <v>844</v>
      </c>
      <c r="D326" s="52" t="s">
        <v>845</v>
      </c>
      <c r="E326" s="51" t="s">
        <v>1034</v>
      </c>
      <c r="F326" s="51">
        <v>4</v>
      </c>
      <c r="G326" s="51" t="s">
        <v>1327</v>
      </c>
      <c r="H326" s="51"/>
      <c r="I326" s="52">
        <v>0</v>
      </c>
      <c r="J326" s="50">
        <f>IF(F326=4,SUMIFS(Tabela1[PAGO],Tabela1[CHAVE],'Controle EAP'!H326),SUMIFS(J:J,$G:$G,'Controle EAP'!G326&amp;"????"))</f>
        <v>0</v>
      </c>
      <c r="K326" s="14">
        <f t="shared" si="5"/>
        <v>0</v>
      </c>
    </row>
    <row r="327" spans="2:11" hidden="1" outlineLevel="3" x14ac:dyDescent="0.25">
      <c r="B327" s="51" t="s">
        <v>846</v>
      </c>
      <c r="C327" s="51" t="s">
        <v>847</v>
      </c>
      <c r="D327" s="52" t="s">
        <v>848</v>
      </c>
      <c r="E327" s="51" t="s">
        <v>1034</v>
      </c>
      <c r="F327" s="51">
        <v>4</v>
      </c>
      <c r="G327" s="51" t="s">
        <v>1328</v>
      </c>
      <c r="H327" s="51"/>
      <c r="I327" s="52">
        <v>0</v>
      </c>
      <c r="J327" s="50">
        <f>IF(F327=4,SUMIFS(Tabela1[PAGO],Tabela1[CHAVE],'Controle EAP'!H327),SUMIFS(J:J,$G:$G,'Controle EAP'!G327&amp;"????"))</f>
        <v>0</v>
      </c>
      <c r="K327" s="14">
        <f t="shared" si="5"/>
        <v>0</v>
      </c>
    </row>
    <row r="328" spans="2:11" outlineLevel="2" collapsed="1" x14ac:dyDescent="0.25">
      <c r="B328" s="51" t="s">
        <v>849</v>
      </c>
      <c r="C328" s="51">
        <v>-1</v>
      </c>
      <c r="D328" s="52" t="s">
        <v>850</v>
      </c>
      <c r="E328" s="51" t="s">
        <v>100</v>
      </c>
      <c r="F328" s="51">
        <v>3</v>
      </c>
      <c r="G328" s="51" t="s">
        <v>1329</v>
      </c>
      <c r="H328" s="51"/>
      <c r="I328" s="14">
        <f>SUMIFS(I:I,$G:$G,'Controle EAP'!G328&amp;"????")</f>
        <v>0</v>
      </c>
      <c r="J328" s="50">
        <f>IF(F328=4,SUMIFS(Tabela1[PAGO],Tabela1[CHAVE],'Controle EAP'!H328),SUMIFS(J:J,$G:$G,'Controle EAP'!G328&amp;"????"))</f>
        <v>0</v>
      </c>
      <c r="K328" s="14">
        <f t="shared" si="5"/>
        <v>0</v>
      </c>
    </row>
    <row r="329" spans="2:11" hidden="1" outlineLevel="3" x14ac:dyDescent="0.25">
      <c r="B329" s="51" t="s">
        <v>851</v>
      </c>
      <c r="C329" s="51" t="s">
        <v>852</v>
      </c>
      <c r="D329" s="52" t="s">
        <v>853</v>
      </c>
      <c r="E329" s="51" t="s">
        <v>1034</v>
      </c>
      <c r="F329" s="51">
        <v>4</v>
      </c>
      <c r="G329" s="51" t="s">
        <v>1330</v>
      </c>
      <c r="H329" s="51"/>
      <c r="I329" s="52">
        <v>0</v>
      </c>
      <c r="J329" s="50">
        <f>IF(F329=4,SUMIFS(Tabela1[PAGO],Tabela1[CHAVE],'Controle EAP'!H329),SUMIFS(J:J,$G:$G,'Controle EAP'!G329&amp;"????"))</f>
        <v>0</v>
      </c>
      <c r="K329" s="14">
        <f t="shared" si="5"/>
        <v>0</v>
      </c>
    </row>
    <row r="330" spans="2:11" hidden="1" outlineLevel="3" x14ac:dyDescent="0.25">
      <c r="B330" s="51" t="s">
        <v>854</v>
      </c>
      <c r="C330" s="51" t="s">
        <v>855</v>
      </c>
      <c r="D330" s="52" t="s">
        <v>856</v>
      </c>
      <c r="E330" s="51" t="s">
        <v>1034</v>
      </c>
      <c r="F330" s="51">
        <v>4</v>
      </c>
      <c r="G330" s="51" t="s">
        <v>1331</v>
      </c>
      <c r="H330" s="51"/>
      <c r="I330" s="52">
        <v>0</v>
      </c>
      <c r="J330" s="50">
        <f>IF(F330=4,SUMIFS(Tabela1[PAGO],Tabela1[CHAVE],'Controle EAP'!H330),SUMIFS(J:J,$G:$G,'Controle EAP'!G330&amp;"????"))</f>
        <v>0</v>
      </c>
      <c r="K330" s="14">
        <f t="shared" si="5"/>
        <v>0</v>
      </c>
    </row>
    <row r="331" spans="2:11" outlineLevel="2" collapsed="1" x14ac:dyDescent="0.25">
      <c r="B331" s="51" t="s">
        <v>857</v>
      </c>
      <c r="C331" s="51">
        <v>-1</v>
      </c>
      <c r="D331" s="52" t="s">
        <v>858</v>
      </c>
      <c r="E331" s="51" t="s">
        <v>100</v>
      </c>
      <c r="F331" s="51">
        <v>3</v>
      </c>
      <c r="G331" s="51" t="s">
        <v>1332</v>
      </c>
      <c r="H331" s="51"/>
      <c r="I331" s="14">
        <f>SUMIFS(I:I,$G:$G,'Controle EAP'!G331&amp;"????")</f>
        <v>0</v>
      </c>
      <c r="J331" s="50">
        <f>IF(F331=4,SUMIFS(Tabela1[PAGO],Tabela1[CHAVE],'Controle EAP'!H331),SUMIFS(J:J,$G:$G,'Controle EAP'!G331&amp;"????"))</f>
        <v>0</v>
      </c>
      <c r="K331" s="14">
        <f t="shared" si="5"/>
        <v>0</v>
      </c>
    </row>
    <row r="332" spans="2:11" hidden="1" outlineLevel="3" x14ac:dyDescent="0.25">
      <c r="B332" s="51" t="s">
        <v>859</v>
      </c>
      <c r="C332" s="51" t="s">
        <v>860</v>
      </c>
      <c r="D332" s="52" t="s">
        <v>861</v>
      </c>
      <c r="E332" s="51" t="s">
        <v>1034</v>
      </c>
      <c r="F332" s="51">
        <v>4</v>
      </c>
      <c r="G332" s="51" t="s">
        <v>1333</v>
      </c>
      <c r="H332" s="51"/>
      <c r="I332" s="52">
        <v>0</v>
      </c>
      <c r="J332" s="50">
        <f>IF(F332=4,SUMIFS(Tabela1[PAGO],Tabela1[CHAVE],'Controle EAP'!H332),SUMIFS(J:J,$G:$G,'Controle EAP'!G332&amp;"????"))</f>
        <v>0</v>
      </c>
      <c r="K332" s="14">
        <f t="shared" si="5"/>
        <v>0</v>
      </c>
    </row>
  </sheetData>
  <autoFilter ref="B5:K279" xr:uid="{00000000-0001-0000-0200-000000000000}"/>
  <mergeCells count="2">
    <mergeCell ref="B3:I3"/>
    <mergeCell ref="B2:L2"/>
  </mergeCells>
  <conditionalFormatting sqref="K6:K332">
    <cfRule type="cellIs" dxfId="5" priority="1" operator="lessThan">
      <formula>0</formula>
    </cfRule>
  </conditionalFormatting>
  <conditionalFormatting sqref="B6:K332">
    <cfRule type="expression" dxfId="4" priority="27">
      <formula>$F6=4</formula>
    </cfRule>
    <cfRule type="expression" dxfId="3" priority="28">
      <formula>$F6=5</formula>
    </cfRule>
    <cfRule type="expression" dxfId="2" priority="29">
      <formula>$F6=3</formula>
    </cfRule>
    <cfRule type="expression" dxfId="1" priority="30">
      <formula>$F6=2</formula>
    </cfRule>
    <cfRule type="expression" dxfId="0" priority="31">
      <formula>$F6=1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3:AD15"/>
  <sheetViews>
    <sheetView showGridLines="0" zoomScaleNormal="100" workbookViewId="0">
      <pane ySplit="5" topLeftCell="A6" activePane="bottomLeft" state="frozen"/>
      <selection pane="bottomLeft" activeCell="D23" sqref="D23"/>
    </sheetView>
  </sheetViews>
  <sheetFormatPr defaultColWidth="8.5703125" defaultRowHeight="15" x14ac:dyDescent="0.25"/>
  <cols>
    <col min="2" max="2" width="18.28515625" bestFit="1" customWidth="1"/>
    <col min="3" max="3" width="40.85546875" bestFit="1" customWidth="1"/>
    <col min="4" max="4" width="34.42578125" bestFit="1" customWidth="1"/>
    <col min="5" max="5" width="13" bestFit="1" customWidth="1"/>
    <col min="6" max="6" width="51.140625" bestFit="1" customWidth="1"/>
    <col min="7" max="7" width="21.42578125" bestFit="1" customWidth="1"/>
    <col min="8" max="8" width="43.7109375" bestFit="1" customWidth="1"/>
    <col min="9" max="9" width="14.85546875" bestFit="1" customWidth="1"/>
    <col min="10" max="10" width="27" bestFit="1" customWidth="1"/>
    <col min="11" max="11" width="14.85546875" bestFit="1" customWidth="1"/>
    <col min="12" max="12" width="16" bestFit="1" customWidth="1"/>
    <col min="13" max="13" width="20.28515625" bestFit="1" customWidth="1"/>
    <col min="14" max="14" width="20.28515625" customWidth="1"/>
    <col min="16" max="16" width="40.85546875" bestFit="1" customWidth="1"/>
    <col min="17" max="17" width="34.42578125" bestFit="1" customWidth="1"/>
    <col min="18" max="18" width="17.5703125" bestFit="1" customWidth="1"/>
    <col min="19" max="19" width="21.42578125" bestFit="1" customWidth="1"/>
    <col min="20" max="20" width="28" bestFit="1" customWidth="1"/>
    <col min="21" max="21" width="12.42578125" bestFit="1" customWidth="1"/>
    <col min="22" max="22" width="15.42578125" bestFit="1" customWidth="1"/>
    <col min="23" max="23" width="24.85546875" bestFit="1" customWidth="1"/>
    <col min="24" max="24" width="22.140625" bestFit="1" customWidth="1"/>
    <col min="25" max="25" width="17.42578125" bestFit="1" customWidth="1"/>
    <col min="26" max="26" width="1.28515625" bestFit="1" customWidth="1"/>
    <col min="28" max="28" width="70.7109375" bestFit="1" customWidth="1"/>
    <col min="29" max="29" width="34.42578125" bestFit="1" customWidth="1"/>
    <col min="30" max="30" width="18.140625" customWidth="1"/>
  </cols>
  <sheetData>
    <row r="3" spans="2:30" ht="19.5" customHeight="1" x14ac:dyDescent="0.25">
      <c r="B3" s="101" t="s">
        <v>51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2"/>
      <c r="P3" s="28" t="s">
        <v>52</v>
      </c>
      <c r="Q3" s="17"/>
      <c r="R3" s="17"/>
      <c r="S3" s="17"/>
      <c r="T3" s="17"/>
      <c r="U3" s="17"/>
      <c r="V3" s="17"/>
      <c r="W3" s="17"/>
      <c r="X3" s="17"/>
      <c r="Y3" s="17"/>
      <c r="AB3" s="28" t="s">
        <v>53</v>
      </c>
      <c r="AC3" s="17"/>
      <c r="AD3" s="17"/>
    </row>
    <row r="4" spans="2:30" ht="19.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7">
        <f>SUM(Tabela1[PAGO])</f>
        <v>0</v>
      </c>
      <c r="L4" s="27">
        <f>SUM(Tabela1[A_PAGAR])</f>
        <v>0</v>
      </c>
      <c r="M4" s="2"/>
      <c r="N4" s="2"/>
      <c r="P4" s="17"/>
      <c r="Q4" s="17"/>
      <c r="R4" s="17"/>
      <c r="S4" s="17"/>
      <c r="T4" s="17"/>
      <c r="U4" s="17"/>
      <c r="V4" s="17"/>
      <c r="W4" s="43">
        <f>SUM(Tabela2[TOTAL DO CONTRATO])</f>
        <v>0</v>
      </c>
      <c r="X4" s="43">
        <f>SUM(Tabela2[TOTAL APROVADO])</f>
        <v>0</v>
      </c>
      <c r="Y4" s="43">
        <f>SUM(Tabela2[TOTAL SALDO])</f>
        <v>0</v>
      </c>
      <c r="AB4" s="17"/>
      <c r="AC4" s="17"/>
      <c r="AD4" s="17"/>
    </row>
    <row r="5" spans="2:30" ht="27.75" customHeight="1" x14ac:dyDescent="0.25">
      <c r="B5" s="22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 t="s">
        <v>59</v>
      </c>
      <c r="H5" s="22" t="s">
        <v>60</v>
      </c>
      <c r="I5" s="22" t="s">
        <v>61</v>
      </c>
      <c r="J5" s="22" t="s">
        <v>62</v>
      </c>
      <c r="K5" s="22" t="s">
        <v>63</v>
      </c>
      <c r="L5" s="22" t="s">
        <v>64</v>
      </c>
      <c r="M5" s="22" t="s">
        <v>65</v>
      </c>
      <c r="N5" s="57" t="s">
        <v>66</v>
      </c>
      <c r="P5" s="34" t="s">
        <v>55</v>
      </c>
      <c r="Q5" s="35" t="s">
        <v>56</v>
      </c>
      <c r="R5" s="35" t="s">
        <v>67</v>
      </c>
      <c r="S5" s="35" t="s">
        <v>59</v>
      </c>
      <c r="T5" s="35" t="s">
        <v>60</v>
      </c>
      <c r="U5" s="35" t="s">
        <v>68</v>
      </c>
      <c r="V5" s="35" t="s">
        <v>69</v>
      </c>
      <c r="W5" s="35" t="s">
        <v>70</v>
      </c>
      <c r="X5" s="35" t="s">
        <v>71</v>
      </c>
      <c r="Y5" s="35" t="s">
        <v>72</v>
      </c>
      <c r="AB5" s="60" t="s">
        <v>73</v>
      </c>
      <c r="AC5" s="61" t="s">
        <v>74</v>
      </c>
      <c r="AD5" s="62" t="s">
        <v>75</v>
      </c>
    </row>
    <row r="6" spans="2:30" x14ac:dyDescent="0.25">
      <c r="B6" s="18">
        <v>46244</v>
      </c>
      <c r="C6" s="19" t="s">
        <v>76</v>
      </c>
      <c r="D6" s="19" t="s">
        <v>77</v>
      </c>
      <c r="E6" s="19" t="s">
        <v>78</v>
      </c>
      <c r="F6" s="19" t="s">
        <v>79</v>
      </c>
      <c r="G6" s="19" t="s">
        <v>862</v>
      </c>
      <c r="H6" s="19" t="s">
        <v>863</v>
      </c>
      <c r="I6" s="103">
        <v>46039</v>
      </c>
      <c r="J6" s="18">
        <v>46268</v>
      </c>
      <c r="K6" s="20">
        <v>0</v>
      </c>
      <c r="L6" s="20">
        <v>0</v>
      </c>
      <c r="M6" s="21">
        <v>46240</v>
      </c>
      <c r="N6" s="58" t="str">
        <f>_xlfn.CONCAT(Tabela1[[#This Row],[ITEM_PL]]," - ",MID(Tabela1[[#This Row],[SERVICO]],1,SEARCH(" ",Tabela1[[#This Row],[SERVICO]],1)-1))</f>
        <v>01.01.02.01 - C18698</v>
      </c>
      <c r="P6" s="36" t="s">
        <v>76</v>
      </c>
      <c r="Q6" s="30" t="s">
        <v>77</v>
      </c>
      <c r="R6" s="30" t="s">
        <v>867</v>
      </c>
      <c r="S6" s="30" t="s">
        <v>80</v>
      </c>
      <c r="T6" s="30" t="s">
        <v>868</v>
      </c>
      <c r="U6" s="30" t="s">
        <v>137</v>
      </c>
      <c r="V6" s="37">
        <v>3</v>
      </c>
      <c r="W6" s="38">
        <v>0</v>
      </c>
      <c r="X6" s="38">
        <v>0</v>
      </c>
      <c r="Y6" s="38">
        <v>0</v>
      </c>
      <c r="Z6" s="29" t="s">
        <v>85</v>
      </c>
      <c r="AB6" s="36"/>
      <c r="AC6" s="30"/>
      <c r="AD6" s="63"/>
    </row>
    <row r="7" spans="2:30" x14ac:dyDescent="0.25">
      <c r="B7" s="18">
        <v>46244</v>
      </c>
      <c r="C7" s="19" t="s">
        <v>76</v>
      </c>
      <c r="D7" s="19" t="s">
        <v>77</v>
      </c>
      <c r="E7" s="19" t="s">
        <v>78</v>
      </c>
      <c r="F7" s="19" t="s">
        <v>79</v>
      </c>
      <c r="G7" s="19" t="s">
        <v>80</v>
      </c>
      <c r="H7" s="19" t="s">
        <v>81</v>
      </c>
      <c r="I7" s="103">
        <v>46025</v>
      </c>
      <c r="J7" s="18">
        <v>46245</v>
      </c>
      <c r="K7" s="20">
        <v>0</v>
      </c>
      <c r="L7" s="20">
        <v>0</v>
      </c>
      <c r="M7" s="21">
        <v>46232</v>
      </c>
      <c r="N7" s="58" t="str">
        <f>_xlfn.CONCAT(Tabela1[[#This Row],[ITEM_PL]]," - ",MID(Tabela1[[#This Row],[SERVICO]],1,SEARCH(" ",Tabela1[[#This Row],[SERVICO]],1)-1))</f>
        <v>01.01.02.01 - C18698</v>
      </c>
      <c r="P7" s="39" t="s">
        <v>76</v>
      </c>
      <c r="Q7" s="30" t="s">
        <v>77</v>
      </c>
      <c r="R7" s="31" t="s">
        <v>82</v>
      </c>
      <c r="S7" s="30" t="s">
        <v>80</v>
      </c>
      <c r="T7" s="30" t="s">
        <v>83</v>
      </c>
      <c r="U7" s="30" t="s">
        <v>84</v>
      </c>
      <c r="V7" s="37">
        <v>1</v>
      </c>
      <c r="W7" s="38">
        <v>0</v>
      </c>
      <c r="X7" s="38">
        <v>0</v>
      </c>
      <c r="Y7" s="38">
        <v>0</v>
      </c>
      <c r="AB7" s="36"/>
      <c r="AC7" s="30"/>
      <c r="AD7" s="63"/>
    </row>
    <row r="8" spans="2:30" x14ac:dyDescent="0.25">
      <c r="B8" s="18">
        <v>46244</v>
      </c>
      <c r="C8" s="19" t="s">
        <v>76</v>
      </c>
      <c r="D8" s="19" t="s">
        <v>77</v>
      </c>
      <c r="E8" s="19" t="s">
        <v>864</v>
      </c>
      <c r="F8" s="19" t="s">
        <v>865</v>
      </c>
      <c r="G8" s="19" t="s">
        <v>862</v>
      </c>
      <c r="H8" s="19" t="s">
        <v>866</v>
      </c>
      <c r="I8" s="103">
        <v>46041</v>
      </c>
      <c r="J8" s="18">
        <v>46248</v>
      </c>
      <c r="K8" s="20">
        <v>0</v>
      </c>
      <c r="L8" s="20">
        <v>0</v>
      </c>
      <c r="M8" s="21">
        <v>46241</v>
      </c>
      <c r="N8" s="58" t="str">
        <f>_xlfn.CONCAT(Tabela1[[#This Row],[ITEM_PL]]," - ",MID(Tabela1[[#This Row],[SERVICO]],1,SEARCH(" ",Tabela1[[#This Row],[SERVICO]],1)-1))</f>
        <v>01.01.04.02 - CO454</v>
      </c>
      <c r="P8" s="39" t="s">
        <v>76</v>
      </c>
      <c r="Q8" s="30" t="s">
        <v>77</v>
      </c>
      <c r="R8" s="31" t="s">
        <v>869</v>
      </c>
      <c r="S8" s="30" t="s">
        <v>870</v>
      </c>
      <c r="T8" s="30" t="s">
        <v>871</v>
      </c>
      <c r="U8" s="30" t="s">
        <v>859</v>
      </c>
      <c r="V8" s="37">
        <v>4</v>
      </c>
      <c r="W8" s="38">
        <v>0</v>
      </c>
      <c r="X8" s="38">
        <v>0</v>
      </c>
      <c r="Y8" s="38">
        <v>0</v>
      </c>
      <c r="AB8" s="36"/>
      <c r="AC8" s="30"/>
      <c r="AD8" s="63"/>
    </row>
    <row r="9" spans="2:30" x14ac:dyDescent="0.25">
      <c r="B9" s="18">
        <v>46244</v>
      </c>
      <c r="C9" s="19" t="s">
        <v>76</v>
      </c>
      <c r="D9" s="19" t="s">
        <v>77</v>
      </c>
      <c r="E9" s="19" t="s">
        <v>86</v>
      </c>
      <c r="F9" s="19" t="s">
        <v>87</v>
      </c>
      <c r="G9" s="19" t="s">
        <v>88</v>
      </c>
      <c r="H9" s="19" t="s">
        <v>89</v>
      </c>
      <c r="I9" s="103">
        <v>46060</v>
      </c>
      <c r="J9" s="18">
        <v>46232</v>
      </c>
      <c r="K9" s="20">
        <v>0</v>
      </c>
      <c r="L9" s="20">
        <v>0</v>
      </c>
      <c r="M9" s="21">
        <v>46232</v>
      </c>
      <c r="N9" s="58" t="str">
        <f>_xlfn.CONCAT(Tabela1[[#This Row],[ITEM_PL]]," - ",MID(Tabela1[[#This Row],[SERVICO]],1,SEARCH(" ",Tabela1[[#This Row],[SERVICO]],1)-1))</f>
        <v>01.01.01.01 - C18612</v>
      </c>
      <c r="P9" s="39" t="s">
        <v>76</v>
      </c>
      <c r="Q9" s="30" t="s">
        <v>77</v>
      </c>
      <c r="R9" s="31" t="s">
        <v>869</v>
      </c>
      <c r="S9" s="30" t="s">
        <v>80</v>
      </c>
      <c r="T9" s="30" t="s">
        <v>871</v>
      </c>
      <c r="U9" s="30" t="s">
        <v>859</v>
      </c>
      <c r="V9" s="37">
        <v>2</v>
      </c>
      <c r="W9" s="38">
        <v>0</v>
      </c>
      <c r="X9" s="38">
        <v>0</v>
      </c>
      <c r="Y9" s="38">
        <v>0</v>
      </c>
      <c r="AB9" s="36"/>
      <c r="AC9" s="30"/>
      <c r="AD9" s="63"/>
    </row>
    <row r="10" spans="2:30" x14ac:dyDescent="0.25">
      <c r="B10" s="18">
        <v>46244</v>
      </c>
      <c r="C10" s="19" t="s">
        <v>76</v>
      </c>
      <c r="D10" s="19" t="s">
        <v>77</v>
      </c>
      <c r="E10" s="19" t="s">
        <v>84</v>
      </c>
      <c r="F10" s="19" t="s">
        <v>82</v>
      </c>
      <c r="G10" s="19" t="s">
        <v>80</v>
      </c>
      <c r="H10" s="19" t="s">
        <v>83</v>
      </c>
      <c r="I10" s="103">
        <v>46037</v>
      </c>
      <c r="J10" s="18">
        <v>46240</v>
      </c>
      <c r="K10" s="20">
        <v>0</v>
      </c>
      <c r="L10" s="20">
        <v>0</v>
      </c>
      <c r="M10" s="21">
        <v>46233</v>
      </c>
      <c r="N10" s="58" t="str">
        <f>_xlfn.CONCAT(Tabela1[[#This Row],[ITEM_PL]]," - ",MID(Tabela1[[#This Row],[SERVICO]],1,SEARCH(" ",Tabela1[[#This Row],[SERVICO]],1)-1))</f>
        <v>01.02.00.03 - CSF7.04</v>
      </c>
      <c r="P10" s="39"/>
      <c r="Q10" s="30"/>
      <c r="R10" s="31"/>
      <c r="S10" s="30"/>
      <c r="T10" s="30"/>
      <c r="U10" s="30"/>
      <c r="V10" s="37"/>
      <c r="W10" s="38"/>
      <c r="X10" s="38"/>
      <c r="Y10" s="38"/>
      <c r="AB10" s="36"/>
      <c r="AC10" s="30"/>
      <c r="AD10" s="63"/>
    </row>
    <row r="11" spans="2:30" x14ac:dyDescent="0.25">
      <c r="B11" s="23">
        <v>46244</v>
      </c>
      <c r="C11" s="24" t="s">
        <v>76</v>
      </c>
      <c r="D11" s="24" t="s">
        <v>77</v>
      </c>
      <c r="E11" s="24" t="s">
        <v>86</v>
      </c>
      <c r="F11" s="24" t="s">
        <v>87</v>
      </c>
      <c r="G11" s="24" t="s">
        <v>88</v>
      </c>
      <c r="H11" s="24" t="s">
        <v>89</v>
      </c>
      <c r="I11" s="104">
        <v>46088</v>
      </c>
      <c r="J11" s="23">
        <v>46261</v>
      </c>
      <c r="K11" s="25">
        <v>0</v>
      </c>
      <c r="L11" s="25">
        <v>0</v>
      </c>
      <c r="M11" s="26">
        <v>46232</v>
      </c>
      <c r="N11" s="59" t="str">
        <f>_xlfn.CONCAT(Tabela1[[#This Row],[ITEM_PL]]," - ",MID(Tabela1[[#This Row],[SERVICO]],1,SEARCH(" ",Tabela1[[#This Row],[SERVICO]],1)-1))</f>
        <v>01.01.01.01 - C18612</v>
      </c>
      <c r="P11" s="40"/>
      <c r="Q11" s="32"/>
      <c r="R11" s="33"/>
      <c r="S11" s="32"/>
      <c r="T11" s="32"/>
      <c r="U11" s="32"/>
      <c r="V11" s="41"/>
      <c r="W11" s="42"/>
      <c r="X11" s="42"/>
      <c r="Y11" s="42"/>
      <c r="AB11" s="64"/>
      <c r="AC11" s="32"/>
      <c r="AD11" s="65"/>
    </row>
    <row r="12" spans="2:30" x14ac:dyDescent="0.25">
      <c r="B12" s="18">
        <v>46244</v>
      </c>
      <c r="C12" s="19" t="s">
        <v>76</v>
      </c>
      <c r="D12" s="19" t="s">
        <v>77</v>
      </c>
      <c r="E12" s="19" t="s">
        <v>86</v>
      </c>
      <c r="F12" s="19" t="s">
        <v>87</v>
      </c>
      <c r="G12" s="19" t="s">
        <v>88</v>
      </c>
      <c r="H12" s="19" t="s">
        <v>89</v>
      </c>
      <c r="I12" s="103">
        <v>46119</v>
      </c>
      <c r="J12" s="18">
        <v>46293</v>
      </c>
      <c r="K12" s="20">
        <v>0</v>
      </c>
      <c r="L12" s="20">
        <v>0</v>
      </c>
      <c r="M12" s="21">
        <v>46232</v>
      </c>
      <c r="N12" s="58" t="str">
        <f>_xlfn.CONCAT(Tabela1[[#This Row],[ITEM_PL]]," - ",MID(Tabela1[[#This Row],[SERVICO]],1,SEARCH(" ",Tabela1[[#This Row],[SERVICO]],1)-1))</f>
        <v>01.01.01.01 - C18612</v>
      </c>
    </row>
    <row r="13" spans="2:30" x14ac:dyDescent="0.25">
      <c r="B13" s="18">
        <v>46244</v>
      </c>
      <c r="C13" s="19" t="s">
        <v>76</v>
      </c>
      <c r="D13" s="19" t="s">
        <v>77</v>
      </c>
      <c r="E13" s="19" t="s">
        <v>137</v>
      </c>
      <c r="F13" s="19" t="s">
        <v>867</v>
      </c>
      <c r="G13" s="19" t="s">
        <v>80</v>
      </c>
      <c r="H13" s="19" t="s">
        <v>868</v>
      </c>
      <c r="I13" s="103">
        <v>46040</v>
      </c>
      <c r="J13" s="18">
        <v>46248</v>
      </c>
      <c r="K13" s="20">
        <v>0</v>
      </c>
      <c r="L13" s="20">
        <v>0</v>
      </c>
      <c r="M13" s="21">
        <v>46241</v>
      </c>
      <c r="N13" s="58" t="str">
        <f>_xlfn.CONCAT(Tabela1[[#This Row],[ITEM_PL]]," - ",MID(Tabela1[[#This Row],[SERVICO]],1,SEARCH(" ",Tabela1[[#This Row],[SERVICO]],1)-1))</f>
        <v>01.01.02.07 - C17211</v>
      </c>
    </row>
    <row r="14" spans="2:30" ht="19.5" customHeight="1" x14ac:dyDescent="0.25">
      <c r="B14" s="18">
        <v>46244</v>
      </c>
      <c r="C14" s="19" t="s">
        <v>76</v>
      </c>
      <c r="D14" s="19" t="s">
        <v>77</v>
      </c>
      <c r="E14" s="19" t="s">
        <v>84</v>
      </c>
      <c r="F14" s="19" t="s">
        <v>82</v>
      </c>
      <c r="G14" s="19" t="s">
        <v>862</v>
      </c>
      <c r="H14" s="19" t="s">
        <v>81</v>
      </c>
      <c r="I14" s="103">
        <v>46038</v>
      </c>
      <c r="J14" s="18">
        <v>46247</v>
      </c>
      <c r="K14" s="20">
        <v>0</v>
      </c>
      <c r="L14" s="20">
        <v>0</v>
      </c>
      <c r="M14" s="21">
        <v>46239</v>
      </c>
      <c r="N14" s="58" t="str">
        <f>_xlfn.CONCAT(Tabela1[[#This Row],[ITEM_PL]]," - ",MID(Tabela1[[#This Row],[SERVICO]],1,SEARCH(" ",Tabela1[[#This Row],[SERVICO]],1)-1))</f>
        <v>01.02.00.03 - CSF7.04</v>
      </c>
    </row>
    <row r="15" spans="2:30" ht="19.5" customHeight="1" x14ac:dyDescent="0.25">
      <c r="B15" s="18">
        <v>46244</v>
      </c>
      <c r="C15" s="19" t="s">
        <v>76</v>
      </c>
      <c r="D15" s="19" t="s">
        <v>77</v>
      </c>
      <c r="E15" s="19" t="s">
        <v>86</v>
      </c>
      <c r="F15" s="19" t="s">
        <v>87</v>
      </c>
      <c r="G15" s="19" t="s">
        <v>88</v>
      </c>
      <c r="H15" s="19" t="s">
        <v>89</v>
      </c>
      <c r="I15" s="103">
        <v>46149</v>
      </c>
      <c r="J15" s="18">
        <v>46322</v>
      </c>
      <c r="K15" s="20">
        <v>0</v>
      </c>
      <c r="L15" s="20">
        <v>0</v>
      </c>
      <c r="M15" s="21">
        <v>46232</v>
      </c>
      <c r="N15" s="58" t="str">
        <f>_xlfn.CONCAT(Tabela1[[#This Row],[ITEM_PL]]," - ",MID(Tabela1[[#This Row],[SERVICO]],1,SEARCH(" ",Tabela1[[#This Row],[SERVICO]],1)-1))</f>
        <v>01.01.01.01 - C18612</v>
      </c>
    </row>
  </sheetData>
  <mergeCells count="1">
    <mergeCell ref="B3:M3"/>
  </mergeCells>
  <pageMargins left="0.75" right="0.75" top="1" bottom="1" header="0.511811023622047" footer="0.511811023622047"/>
  <pageSetup paperSize="9" orientation="portrait" horizontalDpi="300" verticalDpi="300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3B71D0-B6AF-4371-BE5D-9AE0926B292C}">
          <x14:formula1>
            <xm:f>CONFIG!$D$3:$D$245</xm:f>
          </x14:formula1>
          <xm:sqref>AC6:AC11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ee4ec6-5883-47db-b253-c2baa1555e43">
      <Terms xmlns="http://schemas.microsoft.com/office/infopath/2007/PartnerControls"/>
    </lcf76f155ced4ddcb4097134ff3c332f>
    <TaxCatchAll xmlns="627fb5f3-26c4-4568-a011-f9a5c4db2c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420F5A23BE7C4682EA8850A20F8139" ma:contentTypeVersion="15" ma:contentTypeDescription="Crie um novo documento." ma:contentTypeScope="" ma:versionID="6735272950942ef455267fbbaf7c560c">
  <xsd:schema xmlns:xsd="http://www.w3.org/2001/XMLSchema" xmlns:xs="http://www.w3.org/2001/XMLSchema" xmlns:p="http://schemas.microsoft.com/office/2006/metadata/properties" xmlns:ns2="d9ee4ec6-5883-47db-b253-c2baa1555e43" xmlns:ns3="627fb5f3-26c4-4568-a011-f9a5c4db2c44" targetNamespace="http://schemas.microsoft.com/office/2006/metadata/properties" ma:root="true" ma:fieldsID="9d8693dc7768d2bdd53ba957bfc8ff79" ns2:_="" ns3:_="">
    <xsd:import namespace="d9ee4ec6-5883-47db-b253-c2baa1555e43"/>
    <xsd:import namespace="627fb5f3-26c4-4568-a011-f9a5c4db2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e4ec6-5883-47db-b253-c2baa1555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a1e6ce-b763-4f85-8081-a121666cb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fb5f3-26c4-4568-a011-f9a5c4db2c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2ef2cc-ba22-4886-9f65-b4145bf9bf97}" ma:internalName="TaxCatchAll" ma:showField="CatchAllData" ma:web="627fb5f3-26c4-4568-a011-f9a5c4db2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0880E1-6A79-4137-B23F-FA4EF77FE516}">
  <ds:schemaRefs>
    <ds:schemaRef ds:uri="627fb5f3-26c4-4568-a011-f9a5c4db2c44"/>
    <ds:schemaRef ds:uri="http://schemas.microsoft.com/office/2006/metadata/properties"/>
    <ds:schemaRef ds:uri="d9ee4ec6-5883-47db-b253-c2baa1555e43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1F872F0-6FB5-49DF-AED6-D9BE1A31D2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ee4ec6-5883-47db-b253-c2baa1555e43"/>
    <ds:schemaRef ds:uri="627fb5f3-26c4-4568-a011-f9a5c4db2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1C5EF-24D9-4A20-8CB4-CBFE9253F8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Gerencial</vt:lpstr>
      <vt:lpstr>CONFIG</vt:lpstr>
      <vt:lpstr>Controle EAP</vt:lpstr>
      <vt:lpstr>Detalhado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Mateus Nunes Da Cunha Monteiro</cp:lastModifiedBy>
  <cp:revision>0</cp:revision>
  <dcterms:created xsi:type="dcterms:W3CDTF">2026-08-04T16:03:54Z</dcterms:created>
  <dcterms:modified xsi:type="dcterms:W3CDTF">2026-08-10T16:17:50Z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0x0101008B420F5A23BE7C4682EA8850A20F8139</vt:lpwstr>
  </property>
  <property fmtid="{D5CDD505-2E9C-101B-9397-08002B2CF9AE}" pid="3" name="MediaServiceImageTags">
    <vt:lpwstr/>
  </property>
</Properties>
</file>